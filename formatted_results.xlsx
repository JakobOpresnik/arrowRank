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resnikb\Desktop\"/>
    </mc:Choice>
  </mc:AlternateContent>
  <xr:revisionPtr revIDLastSave="0" documentId="13_ncr:1_{1A35F9AA-69A4-4243-8519-390251840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O20" i="1"/>
  <c r="O137" i="1" l="1"/>
  <c r="O147" i="1"/>
  <c r="D147" i="1"/>
  <c r="D150" i="1"/>
  <c r="D151" i="1"/>
  <c r="O140" i="1"/>
  <c r="D140" i="1"/>
  <c r="O143" i="1"/>
  <c r="D143" i="1"/>
  <c r="O14" i="1"/>
  <c r="D14" i="1"/>
  <c r="O61" i="1"/>
  <c r="D61" i="1"/>
  <c r="O56" i="1"/>
  <c r="D56" i="1"/>
  <c r="O60" i="1"/>
  <c r="D60" i="1"/>
  <c r="O28" i="1"/>
  <c r="O29" i="1"/>
  <c r="O30" i="1"/>
  <c r="O31" i="1"/>
  <c r="O32" i="1"/>
  <c r="O33" i="1"/>
  <c r="O34" i="1"/>
  <c r="O35" i="1"/>
  <c r="O36" i="1"/>
  <c r="O37" i="1"/>
  <c r="D28" i="1"/>
  <c r="D29" i="1"/>
  <c r="D30" i="1"/>
  <c r="D31" i="1"/>
  <c r="D32" i="1"/>
  <c r="D33" i="1"/>
  <c r="D34" i="1"/>
  <c r="D35" i="1"/>
  <c r="D36" i="1"/>
  <c r="D37" i="1"/>
  <c r="D148" i="1"/>
  <c r="O148" i="1"/>
  <c r="D149" i="1"/>
  <c r="O149" i="1"/>
  <c r="O146" i="1"/>
  <c r="D146" i="1"/>
  <c r="O150" i="1"/>
  <c r="O151" i="1"/>
  <c r="O152" i="1"/>
  <c r="D152" i="1"/>
  <c r="D137" i="1"/>
  <c r="O142" i="1"/>
  <c r="D142" i="1"/>
  <c r="O139" i="1"/>
  <c r="D139" i="1"/>
  <c r="O141" i="1"/>
  <c r="D141" i="1"/>
  <c r="O138" i="1"/>
  <c r="D138" i="1"/>
  <c r="O131" i="1"/>
  <c r="D131" i="1"/>
  <c r="O119" i="1"/>
  <c r="D119" i="1"/>
  <c r="O116" i="1"/>
  <c r="D116" i="1"/>
  <c r="O125" i="1"/>
  <c r="D125" i="1"/>
  <c r="O127" i="1"/>
  <c r="D127" i="1"/>
  <c r="O121" i="1"/>
  <c r="D121" i="1"/>
  <c r="O122" i="1"/>
  <c r="D122" i="1"/>
  <c r="O120" i="1"/>
  <c r="D120" i="1"/>
  <c r="O126" i="1"/>
  <c r="D126" i="1"/>
  <c r="O123" i="1"/>
  <c r="D123" i="1"/>
  <c r="O128" i="1"/>
  <c r="D128" i="1"/>
  <c r="O133" i="1"/>
  <c r="D133" i="1"/>
  <c r="O129" i="1"/>
  <c r="D129" i="1"/>
  <c r="O117" i="1"/>
  <c r="D117" i="1"/>
  <c r="O132" i="1"/>
  <c r="D132" i="1"/>
  <c r="O134" i="1"/>
  <c r="D134" i="1"/>
  <c r="O130" i="1"/>
  <c r="D130" i="1"/>
  <c r="O124" i="1"/>
  <c r="D124" i="1"/>
  <c r="O118" i="1"/>
  <c r="D118" i="1"/>
  <c r="O107" i="1"/>
  <c r="D107" i="1"/>
  <c r="O105" i="1"/>
  <c r="D105" i="1"/>
  <c r="O109" i="1"/>
  <c r="D109" i="1"/>
  <c r="O112" i="1"/>
  <c r="D112" i="1"/>
  <c r="O113" i="1"/>
  <c r="D113" i="1"/>
  <c r="O111" i="1"/>
  <c r="D111" i="1"/>
  <c r="O108" i="1"/>
  <c r="D108" i="1"/>
  <c r="O106" i="1"/>
  <c r="D106" i="1"/>
  <c r="O110" i="1"/>
  <c r="D110" i="1"/>
  <c r="O102" i="1"/>
  <c r="D102" i="1"/>
  <c r="O99" i="1"/>
  <c r="D99" i="1"/>
  <c r="D39" i="1" l="1"/>
  <c r="O39" i="1"/>
  <c r="D94" i="1"/>
  <c r="O94" i="1"/>
  <c r="D93" i="1"/>
  <c r="O93" i="1"/>
  <c r="D89" i="1"/>
  <c r="O89" i="1"/>
  <c r="D96" i="1"/>
  <c r="O96" i="1"/>
  <c r="D95" i="1"/>
  <c r="O95" i="1"/>
  <c r="D92" i="1"/>
  <c r="O92" i="1"/>
  <c r="D88" i="1"/>
  <c r="O88" i="1"/>
  <c r="D90" i="1"/>
  <c r="O90" i="1"/>
  <c r="D91" i="1"/>
  <c r="O91" i="1"/>
  <c r="D86" i="1"/>
  <c r="O86" i="1"/>
  <c r="O87" i="1"/>
  <c r="D87" i="1"/>
  <c r="D79" i="1"/>
  <c r="O79" i="1"/>
  <c r="D82" i="1"/>
  <c r="O82" i="1"/>
  <c r="D81" i="1"/>
  <c r="O81" i="1"/>
  <c r="D77" i="1"/>
  <c r="O77" i="1"/>
  <c r="D76" i="1"/>
  <c r="O76" i="1"/>
  <c r="D78" i="1"/>
  <c r="O78" i="1"/>
  <c r="D80" i="1"/>
  <c r="O80" i="1"/>
  <c r="D83" i="1"/>
  <c r="O83" i="1"/>
  <c r="D75" i="1"/>
  <c r="O75" i="1"/>
  <c r="D72" i="1"/>
  <c r="O72" i="1"/>
  <c r="D71" i="1"/>
  <c r="O71" i="1"/>
  <c r="D70" i="1"/>
  <c r="O70" i="1"/>
  <c r="O69" i="1"/>
  <c r="D69" i="1"/>
  <c r="D64" i="1"/>
  <c r="O64" i="1"/>
  <c r="D66" i="1"/>
  <c r="O66" i="1"/>
  <c r="D65" i="1"/>
  <c r="O65" i="1"/>
  <c r="O59" i="1"/>
  <c r="D59" i="1"/>
  <c r="D40" i="1"/>
  <c r="O40" i="1"/>
  <c r="D55" i="1"/>
  <c r="O55" i="1"/>
  <c r="D53" i="1"/>
  <c r="O53" i="1"/>
  <c r="D54" i="1"/>
  <c r="O54" i="1"/>
  <c r="D50" i="1"/>
  <c r="O50" i="1"/>
  <c r="D46" i="1"/>
  <c r="O46" i="1"/>
  <c r="D49" i="1"/>
  <c r="O49" i="1"/>
  <c r="D45" i="1"/>
  <c r="O45" i="1"/>
  <c r="D38" i="1"/>
  <c r="O38" i="1"/>
  <c r="D44" i="1"/>
  <c r="O44" i="1"/>
  <c r="D47" i="1"/>
  <c r="O47" i="1"/>
  <c r="D41" i="1"/>
  <c r="O41" i="1"/>
  <c r="D48" i="1"/>
  <c r="O48" i="1"/>
  <c r="D51" i="1"/>
  <c r="O51" i="1"/>
  <c r="D42" i="1"/>
  <c r="O42" i="1"/>
  <c r="D27" i="1"/>
  <c r="O27" i="1"/>
  <c r="D52" i="1"/>
  <c r="O52" i="1"/>
  <c r="O43" i="1"/>
  <c r="D43" i="1"/>
  <c r="D24" i="1"/>
  <c r="D23" i="1"/>
  <c r="D19" i="1"/>
  <c r="D22" i="1"/>
  <c r="D21" i="1"/>
  <c r="D18" i="1"/>
  <c r="D17" i="1"/>
  <c r="O18" i="1"/>
  <c r="O21" i="1"/>
  <c r="O22" i="1"/>
  <c r="O19" i="1"/>
  <c r="O23" i="1"/>
  <c r="O24" i="1"/>
  <c r="O17" i="1"/>
</calcChain>
</file>

<file path=xl/sharedStrings.xml><?xml version="1.0" encoding="utf-8"?>
<sst xmlns="http://schemas.openxmlformats.org/spreadsheetml/2006/main" count="313" uniqueCount="160">
  <si>
    <t>LK MINS Postojna</t>
  </si>
  <si>
    <t>Klub</t>
  </si>
  <si>
    <t>GOSTI</t>
  </si>
  <si>
    <t>Anton Belej</t>
  </si>
  <si>
    <t>Bojan Štuhec</t>
  </si>
  <si>
    <t>LK Budanje</t>
  </si>
  <si>
    <t>GLK Tržič</t>
  </si>
  <si>
    <t>LK Turjak</t>
  </si>
  <si>
    <t>Damjan Koželj</t>
  </si>
  <si>
    <t>VLR Vilijem</t>
  </si>
  <si>
    <t>LP Dwarf Archery</t>
  </si>
  <si>
    <t>Miran Frece</t>
  </si>
  <si>
    <t>Peter Vukotič Palček</t>
  </si>
  <si>
    <t>Robert Đukić</t>
  </si>
  <si>
    <t>Sašo Črešnjovnjak</t>
  </si>
  <si>
    <t>Zdravko Vidic</t>
  </si>
  <si>
    <t>Dejan Železnik</t>
  </si>
  <si>
    <t>Edvard Zatler</t>
  </si>
  <si>
    <t>Matjaž Žmitek</t>
  </si>
  <si>
    <t>Miran Tacer</t>
  </si>
  <si>
    <t>LK Šenčur</t>
  </si>
  <si>
    <t>Primož Duša</t>
  </si>
  <si>
    <t>Slavko Operčkal</t>
  </si>
  <si>
    <t>Blaž Vidic</t>
  </si>
  <si>
    <t>Danil Vukovič</t>
  </si>
  <si>
    <t>Janko Leben</t>
  </si>
  <si>
    <t>Tomo Weithauser</t>
  </si>
  <si>
    <t>Krpin</t>
  </si>
  <si>
    <t>Vojko Petje</t>
  </si>
  <si>
    <t>LD Legende Kolpe</t>
  </si>
  <si>
    <t>Željko Savičić</t>
  </si>
  <si>
    <t>Bojan Mate Manenica</t>
  </si>
  <si>
    <t>U10 GOLI LOK</t>
  </si>
  <si>
    <t>Brina Duša</t>
  </si>
  <si>
    <t>Nejc Versolato</t>
  </si>
  <si>
    <t>U10 TRADICIONALNI LOK</t>
  </si>
  <si>
    <t>Mark Železnik</t>
  </si>
  <si>
    <t>U15 FANTJE GOLI LOK</t>
  </si>
  <si>
    <t>Ožbej Aljančič</t>
  </si>
  <si>
    <t>U15 FANTJE TRADICIONALNI LOK</t>
  </si>
  <si>
    <t>U15 PUNCE GOLI LOK</t>
  </si>
  <si>
    <t>Amanda Koprivc Prosen</t>
  </si>
  <si>
    <t>Aleksandra Kostanjevec</t>
  </si>
  <si>
    <t>Alenka Martinjak</t>
  </si>
  <si>
    <t>Alja Brejc</t>
  </si>
  <si>
    <t>Marta Operčkal</t>
  </si>
  <si>
    <t>Klavdija Blažek</t>
  </si>
  <si>
    <t>Murka Vidic</t>
  </si>
  <si>
    <t>Nataša Kočiš Vukovič</t>
  </si>
  <si>
    <t>Renata Duša</t>
  </si>
  <si>
    <t>Ime in priimek</t>
  </si>
  <si>
    <t>Rezultat</t>
  </si>
  <si>
    <t>skupaj</t>
  </si>
  <si>
    <t>Ksenija Prosen</t>
  </si>
  <si>
    <t>Društvo Šentlok</t>
  </si>
  <si>
    <t>Št.</t>
  </si>
  <si>
    <t>ŽENSKE DOLGI LOK</t>
  </si>
  <si>
    <t>MOŠKI DOLGI LOK</t>
  </si>
  <si>
    <t>ŽENSKE GOLI LOK</t>
  </si>
  <si>
    <t>MOŠKI GOLI LOK</t>
  </si>
  <si>
    <t>ŽENSKE TRADICIONALNI LOK</t>
  </si>
  <si>
    <t>MOŠKI TRADICIONALNI LOK</t>
  </si>
  <si>
    <t>PRIMITIVNI LOK (ČLANI-ce)</t>
  </si>
  <si>
    <t>Antun Frbežar</t>
  </si>
  <si>
    <t>-</t>
  </si>
  <si>
    <t>Dušan Klemen</t>
  </si>
  <si>
    <t>LK Muta</t>
  </si>
  <si>
    <t>Šentlok</t>
  </si>
  <si>
    <t>Žiga Jenko</t>
  </si>
  <si>
    <t>ŠLK Perun</t>
  </si>
  <si>
    <t>Uroš Sablatnik</t>
  </si>
  <si>
    <t>Aleš Sablatnik</t>
  </si>
  <si>
    <t>Bojan Božič</t>
  </si>
  <si>
    <t>Žiga Kumer</t>
  </si>
  <si>
    <t>Robert Levstek</t>
  </si>
  <si>
    <t>Stanislav Ahac</t>
  </si>
  <si>
    <t>Branko Grahovar</t>
  </si>
  <si>
    <t>Jošt Trdan</t>
  </si>
  <si>
    <t>Marko Strašnik</t>
  </si>
  <si>
    <t>Roman Tožbar</t>
  </si>
  <si>
    <t>LS ZSČ Trbovlje</t>
  </si>
  <si>
    <t>Matjaž Trdan</t>
  </si>
  <si>
    <t>James Teverini</t>
  </si>
  <si>
    <t>SK Prezid</t>
  </si>
  <si>
    <t>Aleks Berden</t>
  </si>
  <si>
    <t>LK Mins Postojna</t>
  </si>
  <si>
    <t>Valerija Kumer</t>
  </si>
  <si>
    <t>Tjaša Žagar Markovič</t>
  </si>
  <si>
    <t>Hana Klovar</t>
  </si>
  <si>
    <t>Ajda Fidler</t>
  </si>
  <si>
    <t>Hilda Bassanese Puci</t>
  </si>
  <si>
    <t>BSC Pirksdorfersee</t>
  </si>
  <si>
    <t>Coleen Teverini</t>
  </si>
  <si>
    <t>Dunja Levstek</t>
  </si>
  <si>
    <t>Gorazd Grosek</t>
  </si>
  <si>
    <t>REZULTATI</t>
  </si>
  <si>
    <t>Danilo Trost</t>
  </si>
  <si>
    <t>Robert Marenk</t>
  </si>
  <si>
    <t>Klara Miklavčič</t>
  </si>
  <si>
    <t>Nal Komaricki</t>
  </si>
  <si>
    <t>Lendava</t>
  </si>
  <si>
    <t>Edo Goršič</t>
  </si>
  <si>
    <t>Roman Pleško</t>
  </si>
  <si>
    <t>Srečko Otovič</t>
  </si>
  <si>
    <t>Janez Dimic</t>
  </si>
  <si>
    <t>ŠD Čelešnk</t>
  </si>
  <si>
    <t>Janko Urbanc</t>
  </si>
  <si>
    <t>Drago Vidic</t>
  </si>
  <si>
    <t>Aleš Vranćić</t>
  </si>
  <si>
    <t>Dušan Dimic</t>
  </si>
  <si>
    <t>Željko Horvat Korent</t>
  </si>
  <si>
    <t>Jože Kovačič</t>
  </si>
  <si>
    <t>Marko Markoja</t>
  </si>
  <si>
    <t>Drago Čučnik</t>
  </si>
  <si>
    <t>Anže Aljančič</t>
  </si>
  <si>
    <t>Milan Kejžar</t>
  </si>
  <si>
    <t>Klemen Ribič</t>
  </si>
  <si>
    <t>Nenad Neno Krivec</t>
  </si>
  <si>
    <t>Matjaž Šmauc</t>
  </si>
  <si>
    <t>Grega Kojc</t>
  </si>
  <si>
    <t>Sandi Gorčan</t>
  </si>
  <si>
    <t>Tomislav Premerl</t>
  </si>
  <si>
    <t>3D Medvednica</t>
  </si>
  <si>
    <t>Izet Huzejrović</t>
  </si>
  <si>
    <t>Ninoslav Jembrih</t>
  </si>
  <si>
    <t>Stane Natlačen</t>
  </si>
  <si>
    <t>Miran Čerenjak</t>
  </si>
  <si>
    <t>Tomislav Vrlič</t>
  </si>
  <si>
    <t>Tomislav Nakić-Alfirević</t>
  </si>
  <si>
    <t>Samo Kunej</t>
  </si>
  <si>
    <t>Bruno Vrane</t>
  </si>
  <si>
    <t>Mirta Vukelić</t>
  </si>
  <si>
    <t>Brina Strmčnik</t>
  </si>
  <si>
    <t>Otto Hafner</t>
  </si>
  <si>
    <t>Sofija Ribič</t>
  </si>
  <si>
    <t>Irena Mavrič Pleško</t>
  </si>
  <si>
    <t>Sabina Rizvič</t>
  </si>
  <si>
    <t>Anamarija Colnarič</t>
  </si>
  <si>
    <t>Branka Kunej</t>
  </si>
  <si>
    <t>Anka Pustovrh</t>
  </si>
  <si>
    <t>Klavdija Strgar</t>
  </si>
  <si>
    <t>Teja Gospodarič</t>
  </si>
  <si>
    <t>SK Ajkule Rijeka</t>
  </si>
  <si>
    <t>Stari Pozoj</t>
  </si>
  <si>
    <t>ISHI Vodice</t>
  </si>
  <si>
    <t>Škofja Loka</t>
  </si>
  <si>
    <t>Iztok Odar</t>
  </si>
  <si>
    <t>Nataša Stevanovič</t>
  </si>
  <si>
    <t>Silvo Babič</t>
  </si>
  <si>
    <t>U15 FANTJE DOLGI LOK</t>
  </si>
  <si>
    <t>Dante Požegar</t>
  </si>
  <si>
    <t>Elizabeta Demkina</t>
  </si>
  <si>
    <t>LP Dwarf archery</t>
  </si>
  <si>
    <t>Klemen Romih</t>
  </si>
  <si>
    <t>Gaitano Rossi (Gyula)</t>
  </si>
  <si>
    <t>Ivan Pavačič</t>
  </si>
  <si>
    <t>Blaž Krumpak</t>
  </si>
  <si>
    <t>Sanja Čebraja</t>
  </si>
  <si>
    <t>Pokal tradicionalnih lokov
Lemberg 27. 9. 2025</t>
  </si>
  <si>
    <t>Jelka Todič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</si>
</sst>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  <scheme val="minor"/>
    </font>
    <font>
      <sz val="11"/>
      <color theme="1"/>
      <name val="Nulshock Rg"/>
      <family val="5"/>
    </font>
    <font>
      <sz val="11"/>
      <color theme="1"/>
      <name val="HP Simplified Jpan"/>
      <family val="2"/>
    </font>
    <font>
      <sz val="22"/>
      <color theme="1"/>
      <name val="HP Simplified Jpan"/>
      <family val="2"/>
    </font>
    <font>
      <sz val="10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40404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Hiperpovezava" xfId="1" builtinId="8"/>
    <cellStyle name="Navadno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118111</xdr:colOff>
      <xdr:row>0</xdr:row>
      <xdr:rowOff>0</xdr:rowOff>
    </xdr:from>
    <xdr:to>
      <xdr:col>1</xdr:col>
      <xdr:colOff>1031303</xdr:colOff>
      <xdr:row>6</xdr:row>
      <xdr:rowOff>167640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BA2BA743-12E2-0B59-5464-AA3135CB1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1" y="0"/>
          <a:ext cx="1198942" cy="130111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0</xdr:row>
      <xdr:rowOff>99060</xdr:rowOff>
    </xdr:from>
    <xdr:to>
      <xdr:col>13</xdr:col>
      <xdr:colOff>144781</xdr:colOff>
      <xdr:row>6</xdr:row>
      <xdr:rowOff>5091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30181C44-2922-D356-DD3B-526DC9B0C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21" y="99060"/>
          <a:ext cx="769620" cy="1003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R156"/>
  <sheetViews>
    <sheetView showGridLines="0" tabSelected="1" zoomScaleNormal="100" workbookViewId="0">
      <selection activeCell="N152" sqref="A1:N152"/>
    </sheetView>
  </sheetViews>
  <sheetFormatPr defaultRowHeight="15"/>
  <cols>
    <col min="1" max="1" width="4.28515625" style="1" customWidth="1"/>
    <col min="2" max="2" width="21.42578125" style="18" customWidth="1"/>
    <col min="3" max="3" width="18.5703125" style="18" customWidth="1"/>
    <col min="4" max="4" width="7.7109375" style="1" bestFit="1" customWidth="1"/>
    <col min="5" max="14" width="4.5703125" style="1" customWidth="1"/>
    <col min="15" max="15" width="6.7109375" hidden="1" customWidth="1"/>
  </cols>
  <sheetData>
    <row r="2" spans="1:18">
      <c r="B2" s="16"/>
      <c r="C2" s="29" t="s">
        <v>54</v>
      </c>
      <c r="D2" s="29"/>
      <c r="E2" s="29"/>
      <c r="F2" s="29"/>
      <c r="G2" s="29"/>
      <c r="H2" s="29"/>
      <c r="I2" s="29"/>
      <c r="J2" s="39"/>
      <c r="K2" s="9"/>
      <c r="L2" s="9"/>
    </row>
    <row r="3" spans="1:18">
      <c r="B3" s="16"/>
      <c r="C3" s="29"/>
      <c r="D3" s="29"/>
      <c r="E3" s="29"/>
      <c r="F3" s="29"/>
      <c r="G3" s="29"/>
      <c r="H3" s="29"/>
      <c r="I3" s="29"/>
      <c r="J3" s="39"/>
      <c r="K3" s="9"/>
      <c r="L3" s="9"/>
    </row>
    <row r="4" spans="1:18" ht="14.45" customHeight="1">
      <c r="B4" s="17"/>
      <c r="C4" s="28" t="s">
        <v>158</v>
      </c>
      <c r="D4" s="28"/>
      <c r="E4" s="28"/>
      <c r="F4" s="28"/>
      <c r="G4" s="28"/>
      <c r="H4" s="28"/>
      <c r="I4" s="28"/>
      <c r="J4" s="38"/>
      <c r="K4" s="3"/>
      <c r="L4" s="3"/>
    </row>
    <row r="5" spans="1:18">
      <c r="B5" s="17"/>
      <c r="C5" s="28"/>
      <c r="D5" s="28"/>
      <c r="E5" s="28"/>
      <c r="F5" s="28"/>
      <c r="G5" s="28"/>
      <c r="H5" s="28"/>
      <c r="I5" s="28"/>
      <c r="J5" s="38"/>
      <c r="K5" s="3"/>
      <c r="L5" s="3"/>
      <c r="R5" s="1"/>
    </row>
    <row r="6" spans="1:18">
      <c r="C6" s="17"/>
      <c r="D6" s="3"/>
      <c r="E6" s="3"/>
      <c r="F6" s="3"/>
      <c r="G6" s="3"/>
      <c r="H6" s="3"/>
      <c r="I6" s="3"/>
      <c r="J6" s="3"/>
      <c r="K6" s="3"/>
      <c r="L6" s="3"/>
      <c r="R6" s="1"/>
    </row>
    <row r="7" spans="1:18">
      <c r="C7" s="17"/>
      <c r="D7" s="3"/>
      <c r="E7" s="3"/>
      <c r="F7" s="3"/>
      <c r="G7" s="3"/>
      <c r="H7" s="3"/>
      <c r="I7" s="3"/>
      <c r="J7" s="3"/>
      <c r="K7" s="3"/>
      <c r="L7" s="3"/>
      <c r="R7" s="1"/>
    </row>
    <row r="8" spans="1:18" ht="14.45" customHeight="1">
      <c r="A8" s="31" t="s">
        <v>95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3"/>
    </row>
    <row r="9" spans="1:18" ht="14.45" customHeight="1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</row>
    <row r="11" spans="1:18">
      <c r="A11" s="11"/>
    </row>
    <row r="12" spans="1:18" s="2" customFormat="1" ht="25.15" customHeight="1">
      <c r="A12" s="30" t="s">
        <v>149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/>
    </row>
    <row r="13" spans="1:18" ht="15" customHeight="1">
      <c r="A13" s="6" t="s">
        <v>55</v>
      </c>
      <c r="B13" s="19" t="s">
        <v>50</v>
      </c>
      <c r="C13" s="19" t="s">
        <v>1</v>
      </c>
      <c r="D13" s="5" t="s">
        <v>51</v>
      </c>
      <c r="E13" s="6">
        <v>20</v>
      </c>
      <c r="F13" s="6">
        <v>18</v>
      </c>
      <c r="G13" s="6">
        <v>16</v>
      </c>
      <c r="H13" s="6">
        <v>14</v>
      </c>
      <c r="I13" s="6">
        <v>12</v>
      </c>
      <c r="J13" s="6">
        <v>10</v>
      </c>
      <c r="K13" s="6">
        <v>8</v>
      </c>
      <c r="L13" s="6">
        <v>6</v>
      </c>
      <c r="M13" s="6">
        <v>4</v>
      </c>
      <c r="N13" s="6">
        <v>0</v>
      </c>
      <c r="O13" s="2" t="s">
        <v>52</v>
      </c>
    </row>
    <row r="14" spans="1:18" ht="15" customHeight="1">
      <c r="A14" s="12">
        <v>1</v>
      </c>
      <c r="B14" s="20" t="s">
        <v>150</v>
      </c>
      <c r="C14" s="20" t="s">
        <v>69</v>
      </c>
      <c r="D14" s="27">
        <f>+E14*20+F14*18+G14*16+H14*14+I14*12+J14*10+K14*8+L14*6+M14*4</f>
        <v>326</v>
      </c>
      <c r="E14" s="4">
        <v>2</v>
      </c>
      <c r="F14" s="4">
        <v>5</v>
      </c>
      <c r="G14" s="4">
        <v>8</v>
      </c>
      <c r="H14" s="4"/>
      <c r="I14" s="4"/>
      <c r="J14" s="4">
        <v>6</v>
      </c>
      <c r="K14" s="4"/>
      <c r="L14" s="4"/>
      <c r="M14" s="4">
        <v>2</v>
      </c>
      <c r="N14" s="4">
        <v>5</v>
      </c>
      <c r="O14">
        <f>+SUM(E14:N14)</f>
        <v>28</v>
      </c>
    </row>
    <row r="15" spans="1:18" s="2" customFormat="1" ht="25.15" customHeight="1">
      <c r="A15" s="13"/>
      <c r="B15" s="30" t="s">
        <v>56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/>
    </row>
    <row r="16" spans="1:18" ht="15.6" customHeight="1">
      <c r="A16" s="6" t="s">
        <v>55</v>
      </c>
      <c r="B16" s="19" t="s">
        <v>50</v>
      </c>
      <c r="C16" s="19" t="s">
        <v>1</v>
      </c>
      <c r="D16" s="5" t="s">
        <v>51</v>
      </c>
      <c r="E16" s="6">
        <v>20</v>
      </c>
      <c r="F16" s="6">
        <v>18</v>
      </c>
      <c r="G16" s="6">
        <v>16</v>
      </c>
      <c r="H16" s="6">
        <v>14</v>
      </c>
      <c r="I16" s="6">
        <v>12</v>
      </c>
      <c r="J16" s="6">
        <v>10</v>
      </c>
      <c r="K16" s="6">
        <v>8</v>
      </c>
      <c r="L16" s="6">
        <v>6</v>
      </c>
      <c r="M16" s="6">
        <v>4</v>
      </c>
      <c r="N16" s="6">
        <v>0</v>
      </c>
      <c r="O16" s="2" t="s">
        <v>52</v>
      </c>
    </row>
    <row r="17" spans="1:15" ht="15" customHeight="1">
      <c r="A17" s="12">
        <v>1</v>
      </c>
      <c r="B17" s="20" t="s">
        <v>147</v>
      </c>
      <c r="C17" s="20" t="s">
        <v>10</v>
      </c>
      <c r="D17" s="27">
        <f t="shared" ref="D17:D24" si="0">+E17*20+F17*18+G17*16+H17*14+I17*12+J17*10+K17*8+L17*6+M17*4</f>
        <v>478</v>
      </c>
      <c r="E17" s="4">
        <v>6</v>
      </c>
      <c r="F17" s="4">
        <v>6</v>
      </c>
      <c r="G17" s="4">
        <v>15</v>
      </c>
      <c r="H17" s="4"/>
      <c r="I17" s="4"/>
      <c r="J17" s="4">
        <v>1</v>
      </c>
      <c r="K17" s="4"/>
      <c r="L17" s="4"/>
      <c r="M17" s="4"/>
      <c r="N17" s="4"/>
      <c r="O17">
        <f t="shared" ref="O17:O24" si="1">+SUM(E17:N17)</f>
        <v>28</v>
      </c>
    </row>
    <row r="18" spans="1:15" ht="15" customHeight="1">
      <c r="A18" s="12">
        <v>2</v>
      </c>
      <c r="B18" s="20" t="s">
        <v>135</v>
      </c>
      <c r="C18" s="20" t="s">
        <v>9</v>
      </c>
      <c r="D18" s="27">
        <f t="shared" si="0"/>
        <v>392</v>
      </c>
      <c r="E18" s="4">
        <v>2</v>
      </c>
      <c r="F18" s="4">
        <v>5</v>
      </c>
      <c r="G18" s="4">
        <v>11</v>
      </c>
      <c r="H18" s="4"/>
      <c r="I18" s="4">
        <v>1</v>
      </c>
      <c r="J18" s="4">
        <v>5</v>
      </c>
      <c r="K18" s="4">
        <v>1</v>
      </c>
      <c r="L18" s="4">
        <v>2</v>
      </c>
      <c r="M18" s="4">
        <v>1</v>
      </c>
      <c r="N18" s="4"/>
      <c r="O18">
        <f t="shared" si="1"/>
        <v>28</v>
      </c>
    </row>
    <row r="19" spans="1:15" ht="15" customHeight="1">
      <c r="A19" s="12">
        <v>3</v>
      </c>
      <c r="B19" s="21" t="s">
        <v>42</v>
      </c>
      <c r="C19" s="21" t="s">
        <v>5</v>
      </c>
      <c r="D19" s="27">
        <f t="shared" si="0"/>
        <v>390</v>
      </c>
      <c r="E19" s="4">
        <v>3</v>
      </c>
      <c r="F19" s="4">
        <v>4</v>
      </c>
      <c r="G19" s="4">
        <v>14</v>
      </c>
      <c r="H19" s="4"/>
      <c r="I19" s="4">
        <v>1</v>
      </c>
      <c r="J19" s="4">
        <v>1</v>
      </c>
      <c r="K19" s="4">
        <v>1</v>
      </c>
      <c r="L19" s="4"/>
      <c r="M19" s="4">
        <v>1</v>
      </c>
      <c r="N19" s="4">
        <v>3</v>
      </c>
      <c r="O19">
        <f t="shared" si="1"/>
        <v>28</v>
      </c>
    </row>
    <row r="20" spans="1:15" ht="15" customHeight="1">
      <c r="A20" s="12">
        <v>4</v>
      </c>
      <c r="B20" s="37" t="s">
        <v>159</v>
      </c>
      <c r="C20" s="37" t="s">
        <v>144</v>
      </c>
      <c r="D20" s="27">
        <f t="shared" si="0"/>
        <v>386</v>
      </c>
      <c r="E20" s="4">
        <v>3</v>
      </c>
      <c r="F20" s="4">
        <v>3</v>
      </c>
      <c r="G20" s="4">
        <v>12</v>
      </c>
      <c r="H20" s="4">
        <v>1</v>
      </c>
      <c r="I20" s="4">
        <v>1</v>
      </c>
      <c r="J20" s="4">
        <v>5</v>
      </c>
      <c r="K20" s="4"/>
      <c r="L20" s="4"/>
      <c r="M20" s="4">
        <v>1</v>
      </c>
      <c r="N20" s="4">
        <v>2</v>
      </c>
      <c r="O20">
        <f t="shared" si="1"/>
        <v>28</v>
      </c>
    </row>
    <row r="21" spans="1:15" ht="15" customHeight="1">
      <c r="A21" s="12">
        <v>5</v>
      </c>
      <c r="B21" s="21" t="s">
        <v>87</v>
      </c>
      <c r="C21" s="21" t="s">
        <v>9</v>
      </c>
      <c r="D21" s="27">
        <f t="shared" si="0"/>
        <v>384</v>
      </c>
      <c r="E21" s="4">
        <v>1</v>
      </c>
      <c r="F21" s="4">
        <v>7</v>
      </c>
      <c r="G21" s="4">
        <v>10</v>
      </c>
      <c r="H21" s="4">
        <v>1</v>
      </c>
      <c r="I21" s="4">
        <v>2</v>
      </c>
      <c r="J21" s="4">
        <v>4</v>
      </c>
      <c r="K21" s="4"/>
      <c r="L21" s="4"/>
      <c r="M21" s="4"/>
      <c r="N21" s="4">
        <v>3</v>
      </c>
      <c r="O21">
        <f t="shared" si="1"/>
        <v>28</v>
      </c>
    </row>
    <row r="22" spans="1:15" ht="15" customHeight="1">
      <c r="A22" s="12">
        <v>6</v>
      </c>
      <c r="B22" s="20" t="s">
        <v>136</v>
      </c>
      <c r="C22" s="20" t="s">
        <v>10</v>
      </c>
      <c r="D22" s="27">
        <f t="shared" si="0"/>
        <v>358</v>
      </c>
      <c r="E22" s="4">
        <v>3</v>
      </c>
      <c r="F22" s="4">
        <v>5</v>
      </c>
      <c r="G22" s="4">
        <v>9</v>
      </c>
      <c r="H22" s="4"/>
      <c r="I22" s="4">
        <v>1</v>
      </c>
      <c r="J22" s="4">
        <v>4</v>
      </c>
      <c r="K22" s="4"/>
      <c r="L22" s="4"/>
      <c r="M22" s="4">
        <v>3</v>
      </c>
      <c r="N22" s="4">
        <v>3</v>
      </c>
      <c r="O22">
        <f t="shared" si="1"/>
        <v>28</v>
      </c>
    </row>
    <row r="23" spans="1:15" ht="15" customHeight="1">
      <c r="A23" s="12">
        <v>7</v>
      </c>
      <c r="B23" s="21" t="s">
        <v>86</v>
      </c>
      <c r="C23" s="22" t="s">
        <v>69</v>
      </c>
      <c r="D23" s="27">
        <f t="shared" si="0"/>
        <v>352</v>
      </c>
      <c r="E23" s="4">
        <v>1</v>
      </c>
      <c r="F23" s="4">
        <v>3</v>
      </c>
      <c r="G23" s="4">
        <v>11</v>
      </c>
      <c r="H23" s="4">
        <v>2</v>
      </c>
      <c r="I23" s="4">
        <v>1</v>
      </c>
      <c r="J23" s="4">
        <v>4</v>
      </c>
      <c r="K23" s="4"/>
      <c r="L23" s="4">
        <v>1</v>
      </c>
      <c r="M23" s="4">
        <v>4</v>
      </c>
      <c r="N23" s="4">
        <v>1</v>
      </c>
      <c r="O23">
        <f t="shared" si="1"/>
        <v>28</v>
      </c>
    </row>
    <row r="24" spans="1:15" ht="15" customHeight="1">
      <c r="A24" s="12">
        <v>8</v>
      </c>
      <c r="B24" s="20" t="s">
        <v>43</v>
      </c>
      <c r="C24" s="20" t="s">
        <v>145</v>
      </c>
      <c r="D24" s="27">
        <f t="shared" si="0"/>
        <v>316</v>
      </c>
      <c r="E24" s="4"/>
      <c r="F24" s="4">
        <v>4</v>
      </c>
      <c r="G24" s="4">
        <v>10</v>
      </c>
      <c r="H24" s="4"/>
      <c r="I24" s="4">
        <v>1</v>
      </c>
      <c r="J24" s="4">
        <v>5</v>
      </c>
      <c r="K24" s="4"/>
      <c r="L24" s="4">
        <v>1</v>
      </c>
      <c r="M24" s="4">
        <v>4</v>
      </c>
      <c r="N24" s="4">
        <v>3</v>
      </c>
      <c r="O24">
        <f t="shared" si="1"/>
        <v>28</v>
      </c>
    </row>
    <row r="25" spans="1:15" s="2" customFormat="1" ht="25.15" customHeight="1">
      <c r="A25" s="30" t="s">
        <v>57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/>
    </row>
    <row r="26" spans="1:15" ht="15" customHeight="1">
      <c r="A26" s="6" t="s">
        <v>55</v>
      </c>
      <c r="B26" s="19" t="s">
        <v>50</v>
      </c>
      <c r="C26" s="19" t="s">
        <v>1</v>
      </c>
      <c r="D26" s="5" t="s">
        <v>51</v>
      </c>
      <c r="E26" s="6">
        <v>20</v>
      </c>
      <c r="F26" s="6">
        <v>18</v>
      </c>
      <c r="G26" s="6">
        <v>16</v>
      </c>
      <c r="H26" s="6">
        <v>14</v>
      </c>
      <c r="I26" s="6">
        <v>12</v>
      </c>
      <c r="J26" s="6">
        <v>10</v>
      </c>
      <c r="K26" s="6">
        <v>8</v>
      </c>
      <c r="L26" s="6">
        <v>6</v>
      </c>
      <c r="M26" s="6">
        <v>4</v>
      </c>
      <c r="N26" s="6">
        <v>0</v>
      </c>
      <c r="O26" s="2" t="s">
        <v>52</v>
      </c>
    </row>
    <row r="27" spans="1:15" ht="15" customHeight="1">
      <c r="A27" s="12">
        <v>1</v>
      </c>
      <c r="B27" s="21" t="s">
        <v>14</v>
      </c>
      <c r="C27" s="21" t="s">
        <v>5</v>
      </c>
      <c r="D27" s="27">
        <f t="shared" ref="D27:D56" si="2">+E27*20+F27*18+G27*16+H27*14+I27*12+J27*10+K27*8+L27*6+M27*4</f>
        <v>490</v>
      </c>
      <c r="E27" s="4">
        <v>8</v>
      </c>
      <c r="F27" s="4">
        <v>7</v>
      </c>
      <c r="G27" s="4">
        <v>12</v>
      </c>
      <c r="H27" s="4"/>
      <c r="I27" s="4">
        <v>1</v>
      </c>
      <c r="J27" s="4"/>
      <c r="K27" s="4"/>
      <c r="L27" s="4"/>
      <c r="M27" s="4"/>
      <c r="N27" s="4"/>
      <c r="O27">
        <f t="shared" ref="O27:O56" si="3">+SUM(E27:N27)</f>
        <v>28</v>
      </c>
    </row>
    <row r="28" spans="1:15" ht="15" customHeight="1">
      <c r="A28" s="12">
        <v>2</v>
      </c>
      <c r="B28" s="21" t="s">
        <v>71</v>
      </c>
      <c r="C28" s="21" t="s">
        <v>69</v>
      </c>
      <c r="D28" s="27">
        <f t="shared" si="2"/>
        <v>490</v>
      </c>
      <c r="E28" s="4">
        <v>7</v>
      </c>
      <c r="F28" s="4">
        <v>8</v>
      </c>
      <c r="G28" s="4">
        <v>12</v>
      </c>
      <c r="H28" s="4">
        <v>1</v>
      </c>
      <c r="I28" s="4"/>
      <c r="J28" s="4"/>
      <c r="K28" s="4"/>
      <c r="L28" s="4"/>
      <c r="M28" s="4"/>
      <c r="N28" s="4"/>
      <c r="O28">
        <f t="shared" si="3"/>
        <v>28</v>
      </c>
    </row>
    <row r="29" spans="1:15" ht="15" customHeight="1">
      <c r="A29" s="12">
        <v>3</v>
      </c>
      <c r="B29" s="21" t="s">
        <v>102</v>
      </c>
      <c r="C29" s="22" t="s">
        <v>9</v>
      </c>
      <c r="D29" s="27">
        <f t="shared" si="2"/>
        <v>486</v>
      </c>
      <c r="E29" s="4">
        <v>7</v>
      </c>
      <c r="F29" s="4">
        <v>13</v>
      </c>
      <c r="G29" s="4">
        <v>6</v>
      </c>
      <c r="H29" s="4"/>
      <c r="I29" s="4">
        <v>1</v>
      </c>
      <c r="J29" s="4"/>
      <c r="K29" s="4"/>
      <c r="L29" s="4"/>
      <c r="M29" s="4">
        <v>1</v>
      </c>
      <c r="N29" s="4"/>
      <c r="O29">
        <f t="shared" si="3"/>
        <v>28</v>
      </c>
    </row>
    <row r="30" spans="1:15" ht="15" customHeight="1">
      <c r="A30" s="12">
        <v>4</v>
      </c>
      <c r="B30" s="21" t="s">
        <v>108</v>
      </c>
      <c r="C30" s="21" t="s">
        <v>7</v>
      </c>
      <c r="D30" s="27">
        <f t="shared" si="2"/>
        <v>484</v>
      </c>
      <c r="E30" s="4">
        <v>3</v>
      </c>
      <c r="F30" s="4">
        <v>12</v>
      </c>
      <c r="G30" s="4">
        <v>13</v>
      </c>
      <c r="H30" s="4"/>
      <c r="I30" s="4"/>
      <c r="J30" s="4"/>
      <c r="K30" s="4"/>
      <c r="L30" s="4"/>
      <c r="M30" s="4"/>
      <c r="N30" s="4"/>
      <c r="O30">
        <f t="shared" si="3"/>
        <v>28</v>
      </c>
    </row>
    <row r="31" spans="1:15" ht="15" customHeight="1">
      <c r="A31" s="12">
        <v>5</v>
      </c>
      <c r="B31" s="20" t="s">
        <v>115</v>
      </c>
      <c r="C31" s="20" t="s">
        <v>6</v>
      </c>
      <c r="D31" s="27">
        <f t="shared" si="2"/>
        <v>478</v>
      </c>
      <c r="E31" s="4">
        <v>4</v>
      </c>
      <c r="F31" s="4">
        <v>15</v>
      </c>
      <c r="G31" s="4">
        <v>6</v>
      </c>
      <c r="H31" s="4"/>
      <c r="I31" s="4">
        <v>1</v>
      </c>
      <c r="J31" s="4">
        <v>2</v>
      </c>
      <c r="K31" s="4"/>
      <c r="L31" s="4"/>
      <c r="M31" s="4"/>
      <c r="N31" s="4"/>
      <c r="O31">
        <f t="shared" si="3"/>
        <v>28</v>
      </c>
    </row>
    <row r="32" spans="1:15" ht="15" customHeight="1">
      <c r="A32" s="12">
        <v>6</v>
      </c>
      <c r="B32" s="21" t="s">
        <v>74</v>
      </c>
      <c r="C32" s="21" t="s">
        <v>6</v>
      </c>
      <c r="D32" s="27">
        <f t="shared" si="2"/>
        <v>476</v>
      </c>
      <c r="E32" s="4">
        <v>7</v>
      </c>
      <c r="F32" s="4">
        <v>9</v>
      </c>
      <c r="G32" s="4">
        <v>9</v>
      </c>
      <c r="H32" s="4"/>
      <c r="I32" s="4">
        <v>1</v>
      </c>
      <c r="J32" s="4">
        <v>1</v>
      </c>
      <c r="K32" s="4">
        <v>1</v>
      </c>
      <c r="L32" s="4"/>
      <c r="M32" s="4"/>
      <c r="N32" s="4"/>
      <c r="O32">
        <f t="shared" si="3"/>
        <v>28</v>
      </c>
    </row>
    <row r="33" spans="1:15" ht="15" customHeight="1">
      <c r="A33" s="12">
        <v>7</v>
      </c>
      <c r="B33" s="21" t="s">
        <v>113</v>
      </c>
      <c r="C33" s="21" t="s">
        <v>80</v>
      </c>
      <c r="D33" s="27">
        <f t="shared" si="2"/>
        <v>472</v>
      </c>
      <c r="E33" s="4">
        <v>6</v>
      </c>
      <c r="F33" s="4">
        <v>11</v>
      </c>
      <c r="G33" s="4">
        <v>8</v>
      </c>
      <c r="H33" s="4"/>
      <c r="I33" s="4"/>
      <c r="J33" s="4">
        <v>2</v>
      </c>
      <c r="K33" s="4"/>
      <c r="L33" s="4">
        <v>1</v>
      </c>
      <c r="M33" s="4"/>
      <c r="N33" s="4"/>
      <c r="O33">
        <f t="shared" si="3"/>
        <v>28</v>
      </c>
    </row>
    <row r="34" spans="1:15" ht="15" customHeight="1">
      <c r="A34" s="12">
        <v>8</v>
      </c>
      <c r="B34" s="21" t="s">
        <v>104</v>
      </c>
      <c r="C34" s="21" t="s">
        <v>105</v>
      </c>
      <c r="D34" s="27">
        <f t="shared" si="2"/>
        <v>466</v>
      </c>
      <c r="E34" s="4">
        <v>7</v>
      </c>
      <c r="F34" s="4">
        <v>8</v>
      </c>
      <c r="G34" s="4">
        <v>9</v>
      </c>
      <c r="H34" s="4">
        <v>1</v>
      </c>
      <c r="I34" s="4">
        <v>2</v>
      </c>
      <c r="J34" s="4"/>
      <c r="K34" s="4"/>
      <c r="L34" s="4"/>
      <c r="M34" s="4"/>
      <c r="N34" s="4">
        <v>1</v>
      </c>
      <c r="O34">
        <f t="shared" si="3"/>
        <v>28</v>
      </c>
    </row>
    <row r="35" spans="1:15" ht="15" customHeight="1">
      <c r="A35" s="12">
        <v>9</v>
      </c>
      <c r="B35" s="21" t="s">
        <v>76</v>
      </c>
      <c r="C35" s="21" t="s">
        <v>9</v>
      </c>
      <c r="D35" s="27">
        <f t="shared" si="2"/>
        <v>462</v>
      </c>
      <c r="E35" s="4">
        <v>8</v>
      </c>
      <c r="F35" s="4">
        <v>9</v>
      </c>
      <c r="G35" s="4">
        <v>5</v>
      </c>
      <c r="H35" s="4">
        <v>1</v>
      </c>
      <c r="I35" s="4">
        <v>2</v>
      </c>
      <c r="J35" s="4">
        <v>1</v>
      </c>
      <c r="K35" s="4">
        <v>1</v>
      </c>
      <c r="L35" s="4"/>
      <c r="M35" s="4">
        <v>1</v>
      </c>
      <c r="N35" s="4"/>
      <c r="O35">
        <f t="shared" si="3"/>
        <v>28</v>
      </c>
    </row>
    <row r="36" spans="1:15" ht="15" customHeight="1">
      <c r="A36" s="12">
        <v>10</v>
      </c>
      <c r="B36" s="21" t="s">
        <v>111</v>
      </c>
      <c r="C36" s="21" t="s">
        <v>91</v>
      </c>
      <c r="D36" s="27">
        <f t="shared" si="2"/>
        <v>460</v>
      </c>
      <c r="E36" s="4">
        <v>6</v>
      </c>
      <c r="F36" s="4">
        <v>13</v>
      </c>
      <c r="G36" s="4">
        <v>6</v>
      </c>
      <c r="H36" s="4"/>
      <c r="I36" s="4"/>
      <c r="J36" s="4">
        <v>1</v>
      </c>
      <c r="K36" s="4"/>
      <c r="L36" s="4"/>
      <c r="M36" s="4"/>
      <c r="N36" s="4">
        <v>2</v>
      </c>
      <c r="O36">
        <f t="shared" si="3"/>
        <v>28</v>
      </c>
    </row>
    <row r="37" spans="1:15" ht="15" customHeight="1">
      <c r="A37" s="12">
        <v>11</v>
      </c>
      <c r="B37" s="21" t="s">
        <v>73</v>
      </c>
      <c r="C37" s="21" t="s">
        <v>69</v>
      </c>
      <c r="D37" s="27">
        <f t="shared" si="2"/>
        <v>446</v>
      </c>
      <c r="E37" s="4">
        <v>4</v>
      </c>
      <c r="F37" s="4">
        <v>7</v>
      </c>
      <c r="G37" s="4">
        <v>12</v>
      </c>
      <c r="H37" s="4"/>
      <c r="I37" s="4">
        <v>2</v>
      </c>
      <c r="J37" s="4">
        <v>2</v>
      </c>
      <c r="K37" s="4"/>
      <c r="L37" s="4"/>
      <c r="M37" s="4">
        <v>1</v>
      </c>
      <c r="N37" s="4"/>
      <c r="O37">
        <f t="shared" si="3"/>
        <v>28</v>
      </c>
    </row>
    <row r="38" spans="1:15" ht="15" customHeight="1">
      <c r="A38" s="12">
        <v>12</v>
      </c>
      <c r="B38" s="21" t="s">
        <v>12</v>
      </c>
      <c r="C38" s="21" t="s">
        <v>10</v>
      </c>
      <c r="D38" s="27">
        <f t="shared" si="2"/>
        <v>442</v>
      </c>
      <c r="E38" s="4">
        <v>7</v>
      </c>
      <c r="F38" s="4">
        <v>5</v>
      </c>
      <c r="G38" s="4">
        <v>8</v>
      </c>
      <c r="H38" s="4">
        <v>1</v>
      </c>
      <c r="I38" s="4">
        <v>3</v>
      </c>
      <c r="J38" s="4">
        <v>3</v>
      </c>
      <c r="K38" s="4"/>
      <c r="L38" s="4"/>
      <c r="M38" s="4">
        <v>1</v>
      </c>
      <c r="N38" s="4"/>
      <c r="O38">
        <f t="shared" si="3"/>
        <v>28</v>
      </c>
    </row>
    <row r="39" spans="1:15" ht="15" customHeight="1">
      <c r="A39" s="12">
        <v>13</v>
      </c>
      <c r="B39" s="21" t="s">
        <v>110</v>
      </c>
      <c r="C39" s="21" t="s">
        <v>143</v>
      </c>
      <c r="D39" s="27">
        <f t="shared" si="2"/>
        <v>442</v>
      </c>
      <c r="E39" s="4">
        <v>1</v>
      </c>
      <c r="F39" s="4">
        <v>12</v>
      </c>
      <c r="G39" s="4">
        <v>9</v>
      </c>
      <c r="H39" s="4">
        <v>1</v>
      </c>
      <c r="I39" s="4">
        <v>2</v>
      </c>
      <c r="J39" s="4">
        <v>2</v>
      </c>
      <c r="K39" s="4"/>
      <c r="L39" s="4"/>
      <c r="M39" s="4">
        <v>1</v>
      </c>
      <c r="N39" s="4"/>
      <c r="O39">
        <f t="shared" si="3"/>
        <v>28</v>
      </c>
    </row>
    <row r="40" spans="1:15" ht="15" customHeight="1">
      <c r="A40" s="12">
        <v>14</v>
      </c>
      <c r="B40" s="21" t="s">
        <v>75</v>
      </c>
      <c r="C40" s="21" t="s">
        <v>7</v>
      </c>
      <c r="D40" s="27">
        <f t="shared" si="2"/>
        <v>440</v>
      </c>
      <c r="E40" s="4">
        <v>2</v>
      </c>
      <c r="F40" s="4">
        <v>9</v>
      </c>
      <c r="G40" s="4">
        <v>12</v>
      </c>
      <c r="H40" s="4">
        <v>1</v>
      </c>
      <c r="I40" s="4">
        <v>1</v>
      </c>
      <c r="J40" s="4">
        <v>2</v>
      </c>
      <c r="K40" s="4"/>
      <c r="L40" s="4"/>
      <c r="M40" s="4"/>
      <c r="N40" s="4">
        <v>1</v>
      </c>
      <c r="O40">
        <f t="shared" si="3"/>
        <v>28</v>
      </c>
    </row>
    <row r="41" spans="1:15" ht="15" customHeight="1">
      <c r="A41" s="12">
        <v>15</v>
      </c>
      <c r="B41" s="21" t="s">
        <v>11</v>
      </c>
      <c r="C41" s="21" t="s">
        <v>67</v>
      </c>
      <c r="D41" s="27">
        <f t="shared" si="2"/>
        <v>436</v>
      </c>
      <c r="E41" s="4">
        <v>3</v>
      </c>
      <c r="F41" s="4">
        <v>9</v>
      </c>
      <c r="G41" s="4">
        <v>11</v>
      </c>
      <c r="H41" s="4"/>
      <c r="I41" s="4"/>
      <c r="J41" s="4">
        <v>3</v>
      </c>
      <c r="K41" s="4"/>
      <c r="L41" s="4"/>
      <c r="M41" s="4">
        <v>2</v>
      </c>
      <c r="N41" s="4"/>
      <c r="O41">
        <f t="shared" si="3"/>
        <v>28</v>
      </c>
    </row>
    <row r="42" spans="1:15" ht="15" customHeight="1">
      <c r="A42" s="12">
        <v>16</v>
      </c>
      <c r="B42" s="20" t="s">
        <v>125</v>
      </c>
      <c r="C42" s="20" t="s">
        <v>0</v>
      </c>
      <c r="D42" s="27">
        <f t="shared" si="2"/>
        <v>434</v>
      </c>
      <c r="E42" s="4">
        <v>4</v>
      </c>
      <c r="F42" s="4">
        <v>6</v>
      </c>
      <c r="G42" s="4">
        <v>13</v>
      </c>
      <c r="H42" s="4"/>
      <c r="I42" s="4">
        <v>2</v>
      </c>
      <c r="J42" s="4"/>
      <c r="K42" s="4">
        <v>1</v>
      </c>
      <c r="L42" s="4">
        <v>1</v>
      </c>
      <c r="M42" s="4"/>
      <c r="N42" s="4">
        <v>1</v>
      </c>
      <c r="O42">
        <f t="shared" si="3"/>
        <v>28</v>
      </c>
    </row>
    <row r="43" spans="1:15" ht="15" customHeight="1">
      <c r="A43" s="12">
        <v>17</v>
      </c>
      <c r="B43" s="21" t="s">
        <v>77</v>
      </c>
      <c r="C43" s="21" t="s">
        <v>9</v>
      </c>
      <c r="D43" s="27">
        <f t="shared" si="2"/>
        <v>430</v>
      </c>
      <c r="E43" s="4">
        <v>2</v>
      </c>
      <c r="F43" s="4">
        <v>9</v>
      </c>
      <c r="G43" s="4">
        <v>13</v>
      </c>
      <c r="H43" s="4"/>
      <c r="I43" s="4">
        <v>1</v>
      </c>
      <c r="J43" s="4"/>
      <c r="K43" s="4"/>
      <c r="L43" s="4"/>
      <c r="M43" s="4">
        <v>2</v>
      </c>
      <c r="N43" s="4">
        <v>1</v>
      </c>
      <c r="O43">
        <f t="shared" si="3"/>
        <v>28</v>
      </c>
    </row>
    <row r="44" spans="1:15" ht="15" customHeight="1">
      <c r="A44" s="12">
        <v>18</v>
      </c>
      <c r="B44" s="21" t="s">
        <v>13</v>
      </c>
      <c r="C44" s="21" t="s">
        <v>142</v>
      </c>
      <c r="D44" s="27">
        <f t="shared" si="2"/>
        <v>428</v>
      </c>
      <c r="E44" s="4">
        <v>2</v>
      </c>
      <c r="F44" s="4">
        <v>8</v>
      </c>
      <c r="G44" s="4">
        <v>13</v>
      </c>
      <c r="H44" s="4"/>
      <c r="I44" s="4"/>
      <c r="J44" s="4">
        <v>2</v>
      </c>
      <c r="K44" s="4">
        <v>1</v>
      </c>
      <c r="L44" s="4"/>
      <c r="M44" s="4">
        <v>2</v>
      </c>
      <c r="N44" s="4"/>
      <c r="O44">
        <f t="shared" si="3"/>
        <v>28</v>
      </c>
    </row>
    <row r="45" spans="1:15" ht="15" customHeight="1">
      <c r="A45" s="12">
        <v>19</v>
      </c>
      <c r="B45" s="21" t="s">
        <v>103</v>
      </c>
      <c r="C45" s="21" t="s">
        <v>10</v>
      </c>
      <c r="D45" s="27">
        <f t="shared" si="2"/>
        <v>422</v>
      </c>
      <c r="E45" s="4">
        <v>1</v>
      </c>
      <c r="F45" s="4">
        <v>7</v>
      </c>
      <c r="G45" s="4">
        <v>12</v>
      </c>
      <c r="H45" s="4">
        <v>2</v>
      </c>
      <c r="I45" s="4">
        <v>3</v>
      </c>
      <c r="J45" s="4">
        <v>2</v>
      </c>
      <c r="K45" s="4"/>
      <c r="L45" s="4"/>
      <c r="M45" s="4"/>
      <c r="N45" s="4">
        <v>1</v>
      </c>
      <c r="O45">
        <f t="shared" si="3"/>
        <v>28</v>
      </c>
    </row>
    <row r="46" spans="1:15" ht="15" customHeight="1">
      <c r="A46" s="12">
        <v>20</v>
      </c>
      <c r="B46" s="21" t="s">
        <v>109</v>
      </c>
      <c r="C46" s="21" t="s">
        <v>105</v>
      </c>
      <c r="D46" s="27">
        <f t="shared" si="2"/>
        <v>410</v>
      </c>
      <c r="E46" s="4">
        <v>1</v>
      </c>
      <c r="F46" s="4">
        <v>8</v>
      </c>
      <c r="G46" s="4">
        <v>12</v>
      </c>
      <c r="H46" s="4">
        <v>1</v>
      </c>
      <c r="I46" s="4">
        <v>1</v>
      </c>
      <c r="J46" s="4">
        <v>2</v>
      </c>
      <c r="K46" s="4"/>
      <c r="L46" s="4"/>
      <c r="M46" s="4">
        <v>2</v>
      </c>
      <c r="N46" s="4">
        <v>1</v>
      </c>
      <c r="O46">
        <f t="shared" si="3"/>
        <v>28</v>
      </c>
    </row>
    <row r="47" spans="1:15" ht="15" customHeight="1">
      <c r="A47" s="12">
        <v>21</v>
      </c>
      <c r="B47" s="21" t="s">
        <v>70</v>
      </c>
      <c r="C47" s="21" t="s">
        <v>69</v>
      </c>
      <c r="D47" s="27">
        <f t="shared" si="2"/>
        <v>396</v>
      </c>
      <c r="E47" s="4">
        <v>3</v>
      </c>
      <c r="F47" s="4">
        <v>6</v>
      </c>
      <c r="G47" s="4">
        <v>9</v>
      </c>
      <c r="H47" s="4">
        <v>2</v>
      </c>
      <c r="I47" s="4"/>
      <c r="J47" s="4">
        <v>5</v>
      </c>
      <c r="K47" s="4"/>
      <c r="L47" s="4">
        <v>1</v>
      </c>
      <c r="M47" s="4"/>
      <c r="N47" s="4">
        <v>2</v>
      </c>
      <c r="O47">
        <f t="shared" si="3"/>
        <v>28</v>
      </c>
    </row>
    <row r="48" spans="1:15" ht="15" customHeight="1">
      <c r="A48" s="12">
        <v>22</v>
      </c>
      <c r="B48" s="21" t="s">
        <v>112</v>
      </c>
      <c r="C48" s="21" t="s">
        <v>69</v>
      </c>
      <c r="D48" s="27">
        <f t="shared" si="2"/>
        <v>392</v>
      </c>
      <c r="E48" s="4">
        <v>5</v>
      </c>
      <c r="F48" s="4">
        <v>1</v>
      </c>
      <c r="G48" s="4">
        <v>11</v>
      </c>
      <c r="H48" s="4">
        <v>1</v>
      </c>
      <c r="I48" s="4">
        <v>2</v>
      </c>
      <c r="J48" s="4">
        <v>5</v>
      </c>
      <c r="K48" s="4"/>
      <c r="L48" s="4">
        <v>1</v>
      </c>
      <c r="M48" s="4">
        <v>1</v>
      </c>
      <c r="N48" s="4">
        <v>1</v>
      </c>
      <c r="O48">
        <f t="shared" si="3"/>
        <v>28</v>
      </c>
    </row>
    <row r="49" spans="1:15" ht="15" customHeight="1">
      <c r="A49" s="12">
        <v>23</v>
      </c>
      <c r="B49" s="20" t="s">
        <v>146</v>
      </c>
      <c r="C49" s="7" t="s">
        <v>10</v>
      </c>
      <c r="D49" s="27">
        <f t="shared" si="2"/>
        <v>388</v>
      </c>
      <c r="E49" s="4">
        <v>4</v>
      </c>
      <c r="F49" s="4">
        <v>5</v>
      </c>
      <c r="G49" s="4">
        <v>10</v>
      </c>
      <c r="H49" s="4">
        <v>1</v>
      </c>
      <c r="I49" s="4">
        <v>2</v>
      </c>
      <c r="J49" s="4">
        <v>1</v>
      </c>
      <c r="K49" s="4"/>
      <c r="L49" s="4">
        <v>1</v>
      </c>
      <c r="M49" s="4">
        <v>1</v>
      </c>
      <c r="N49" s="4">
        <v>3</v>
      </c>
      <c r="O49">
        <f t="shared" si="3"/>
        <v>28</v>
      </c>
    </row>
    <row r="50" spans="1:15" ht="15" customHeight="1">
      <c r="A50" s="12">
        <v>24</v>
      </c>
      <c r="B50" s="21" t="s">
        <v>15</v>
      </c>
      <c r="C50" s="21" t="s">
        <v>10</v>
      </c>
      <c r="D50" s="27">
        <f t="shared" si="2"/>
        <v>380</v>
      </c>
      <c r="E50" s="4">
        <v>2</v>
      </c>
      <c r="F50" s="4">
        <v>3</v>
      </c>
      <c r="G50" s="4">
        <v>11</v>
      </c>
      <c r="H50" s="4">
        <v>3</v>
      </c>
      <c r="I50" s="4">
        <v>2</v>
      </c>
      <c r="J50" s="4">
        <v>4</v>
      </c>
      <c r="K50" s="4"/>
      <c r="L50" s="4"/>
      <c r="M50" s="4">
        <v>1</v>
      </c>
      <c r="N50" s="4">
        <v>2</v>
      </c>
      <c r="O50">
        <f t="shared" si="3"/>
        <v>28</v>
      </c>
    </row>
    <row r="51" spans="1:15" ht="15" customHeight="1">
      <c r="A51" s="12">
        <v>25</v>
      </c>
      <c r="B51" s="21" t="s">
        <v>72</v>
      </c>
      <c r="C51" s="21" t="s">
        <v>67</v>
      </c>
      <c r="D51" s="27">
        <f t="shared" si="2"/>
        <v>376</v>
      </c>
      <c r="E51" s="4">
        <v>1</v>
      </c>
      <c r="F51" s="4">
        <v>7</v>
      </c>
      <c r="G51" s="4">
        <v>9</v>
      </c>
      <c r="H51" s="4">
        <v>1</v>
      </c>
      <c r="I51" s="4">
        <v>1</v>
      </c>
      <c r="J51" s="4">
        <v>4</v>
      </c>
      <c r="K51" s="4"/>
      <c r="L51" s="4">
        <v>2</v>
      </c>
      <c r="M51" s="4">
        <v>2</v>
      </c>
      <c r="N51" s="4">
        <v>1</v>
      </c>
      <c r="O51">
        <f t="shared" si="3"/>
        <v>28</v>
      </c>
    </row>
    <row r="52" spans="1:15" ht="15" customHeight="1">
      <c r="A52" s="12">
        <v>26</v>
      </c>
      <c r="B52" s="21" t="s">
        <v>107</v>
      </c>
      <c r="C52" s="22" t="s">
        <v>10</v>
      </c>
      <c r="D52" s="27">
        <f t="shared" si="2"/>
        <v>374</v>
      </c>
      <c r="E52" s="4">
        <v>1</v>
      </c>
      <c r="F52" s="4">
        <v>10</v>
      </c>
      <c r="G52" s="4">
        <v>5</v>
      </c>
      <c r="H52" s="4">
        <v>2</v>
      </c>
      <c r="I52" s="4"/>
      <c r="J52" s="4">
        <v>4</v>
      </c>
      <c r="K52" s="4">
        <v>2</v>
      </c>
      <c r="L52" s="4">
        <v>1</v>
      </c>
      <c r="M52" s="4">
        <v>1</v>
      </c>
      <c r="N52" s="4">
        <v>2</v>
      </c>
      <c r="O52">
        <f t="shared" si="3"/>
        <v>28</v>
      </c>
    </row>
    <row r="53" spans="1:15" ht="15" customHeight="1">
      <c r="A53" s="12">
        <v>27</v>
      </c>
      <c r="B53" s="21" t="s">
        <v>16</v>
      </c>
      <c r="C53" s="21" t="s">
        <v>0</v>
      </c>
      <c r="D53" s="27">
        <f t="shared" si="2"/>
        <v>364</v>
      </c>
      <c r="E53" s="4">
        <v>4</v>
      </c>
      <c r="F53" s="4">
        <v>1</v>
      </c>
      <c r="G53" s="4">
        <v>13</v>
      </c>
      <c r="H53" s="4"/>
      <c r="I53" s="4"/>
      <c r="J53" s="4">
        <v>5</v>
      </c>
      <c r="K53" s="4"/>
      <c r="L53" s="4"/>
      <c r="M53" s="4">
        <v>2</v>
      </c>
      <c r="N53" s="4">
        <v>3</v>
      </c>
      <c r="O53">
        <f t="shared" si="3"/>
        <v>28</v>
      </c>
    </row>
    <row r="54" spans="1:15" ht="15" customHeight="1">
      <c r="A54" s="12">
        <v>28</v>
      </c>
      <c r="B54" s="21" t="s">
        <v>68</v>
      </c>
      <c r="C54" s="21" t="s">
        <v>69</v>
      </c>
      <c r="D54" s="27">
        <f t="shared" si="2"/>
        <v>362</v>
      </c>
      <c r="E54" s="4">
        <v>2</v>
      </c>
      <c r="F54" s="4">
        <v>5</v>
      </c>
      <c r="G54" s="4">
        <v>9</v>
      </c>
      <c r="H54" s="4">
        <v>2</v>
      </c>
      <c r="I54" s="4"/>
      <c r="J54" s="4">
        <v>3</v>
      </c>
      <c r="K54" s="4">
        <v>1</v>
      </c>
      <c r="L54" s="4">
        <v>1</v>
      </c>
      <c r="M54" s="4">
        <v>4</v>
      </c>
      <c r="N54" s="4">
        <v>1</v>
      </c>
      <c r="O54">
        <f t="shared" si="3"/>
        <v>28</v>
      </c>
    </row>
    <row r="55" spans="1:15" ht="15" customHeight="1">
      <c r="A55" s="12">
        <v>29</v>
      </c>
      <c r="B55" s="20" t="s">
        <v>155</v>
      </c>
      <c r="C55" s="7" t="s">
        <v>144</v>
      </c>
      <c r="D55" s="27">
        <f t="shared" si="2"/>
        <v>352</v>
      </c>
      <c r="E55" s="4">
        <v>3</v>
      </c>
      <c r="F55" s="4">
        <v>1</v>
      </c>
      <c r="G55" s="4">
        <v>12</v>
      </c>
      <c r="H55" s="4"/>
      <c r="I55" s="4">
        <v>2</v>
      </c>
      <c r="J55" s="4">
        <v>5</v>
      </c>
      <c r="K55" s="4"/>
      <c r="L55" s="4"/>
      <c r="M55" s="4">
        <v>2</v>
      </c>
      <c r="N55" s="4">
        <v>3</v>
      </c>
      <c r="O55">
        <f t="shared" si="3"/>
        <v>28</v>
      </c>
    </row>
    <row r="56" spans="1:15" ht="15" customHeight="1">
      <c r="A56" s="12">
        <v>30</v>
      </c>
      <c r="B56" s="22" t="s">
        <v>106</v>
      </c>
      <c r="C56" s="22" t="s">
        <v>69</v>
      </c>
      <c r="D56" s="27">
        <f t="shared" si="2"/>
        <v>302</v>
      </c>
      <c r="E56" s="4"/>
      <c r="F56" s="4">
        <v>3</v>
      </c>
      <c r="G56" s="4">
        <v>11</v>
      </c>
      <c r="H56" s="4"/>
      <c r="I56" s="4">
        <v>2</v>
      </c>
      <c r="J56" s="4">
        <v>2</v>
      </c>
      <c r="K56" s="4"/>
      <c r="L56" s="4">
        <v>2</v>
      </c>
      <c r="M56" s="4">
        <v>4</v>
      </c>
      <c r="N56" s="4">
        <v>4</v>
      </c>
      <c r="O56">
        <f t="shared" si="3"/>
        <v>28</v>
      </c>
    </row>
    <row r="57" spans="1:15" s="2" customFormat="1" ht="25.15" customHeight="1">
      <c r="A57" s="30" t="s">
        <v>32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/>
    </row>
    <row r="58" spans="1:15" ht="15" customHeight="1">
      <c r="A58" s="6" t="s">
        <v>55</v>
      </c>
      <c r="B58" s="19" t="s">
        <v>50</v>
      </c>
      <c r="C58" s="19" t="s">
        <v>1</v>
      </c>
      <c r="D58" s="5" t="s">
        <v>51</v>
      </c>
      <c r="E58" s="6">
        <v>20</v>
      </c>
      <c r="F58" s="6">
        <v>18</v>
      </c>
      <c r="G58" s="6">
        <v>16</v>
      </c>
      <c r="H58" s="6">
        <v>14</v>
      </c>
      <c r="I58" s="6">
        <v>12</v>
      </c>
      <c r="J58" s="6">
        <v>10</v>
      </c>
      <c r="K58" s="6">
        <v>8</v>
      </c>
      <c r="L58" s="6">
        <v>6</v>
      </c>
      <c r="M58" s="6">
        <v>4</v>
      </c>
      <c r="N58" s="6">
        <v>0</v>
      </c>
      <c r="O58" s="2" t="s">
        <v>52</v>
      </c>
    </row>
    <row r="59" spans="1:15" ht="15" customHeight="1">
      <c r="A59" s="12">
        <v>1</v>
      </c>
      <c r="B59" s="21" t="s">
        <v>34</v>
      </c>
      <c r="C59" s="22" t="s">
        <v>0</v>
      </c>
      <c r="D59" s="27">
        <f>+E59*20+F59*18+G59*16+H59*14+I59*12+J59*10+K59*8+L59*6+M59*4</f>
        <v>520</v>
      </c>
      <c r="E59" s="4">
        <v>19</v>
      </c>
      <c r="F59" s="4">
        <v>3</v>
      </c>
      <c r="G59" s="4">
        <v>5</v>
      </c>
      <c r="H59" s="4"/>
      <c r="I59" s="4"/>
      <c r="J59" s="4"/>
      <c r="K59" s="4"/>
      <c r="L59" s="4">
        <v>1</v>
      </c>
      <c r="M59" s="4"/>
      <c r="N59" s="4"/>
      <c r="O59">
        <f>+SUM(E59:N59)</f>
        <v>28</v>
      </c>
    </row>
    <row r="60" spans="1:15" ht="15" customHeight="1">
      <c r="A60" s="12">
        <v>2</v>
      </c>
      <c r="B60" s="20" t="s">
        <v>132</v>
      </c>
      <c r="C60" s="20" t="s">
        <v>67</v>
      </c>
      <c r="D60" s="27">
        <f>+E60*20+F60*18+G60*16+H60*14+I60*12+J60*10+K60*8+L60*6+M60*4</f>
        <v>458</v>
      </c>
      <c r="E60" s="4">
        <v>6</v>
      </c>
      <c r="F60" s="4">
        <v>6</v>
      </c>
      <c r="G60" s="4">
        <v>11</v>
      </c>
      <c r="H60" s="4"/>
      <c r="I60" s="4">
        <v>4</v>
      </c>
      <c r="J60" s="4"/>
      <c r="K60" s="4"/>
      <c r="L60" s="4">
        <v>1</v>
      </c>
      <c r="M60" s="4"/>
      <c r="N60" s="4"/>
      <c r="O60">
        <f>+SUM(E60:N60)</f>
        <v>28</v>
      </c>
    </row>
    <row r="61" spans="1:15" ht="15" customHeight="1">
      <c r="A61" s="12">
        <v>3</v>
      </c>
      <c r="B61" s="21" t="s">
        <v>33</v>
      </c>
      <c r="C61" s="22" t="s">
        <v>0</v>
      </c>
      <c r="D61" s="27">
        <f>+E61*20+F61*18+G61*16+H61*14+I61*12+J61*10+K61*8+L61*6+M61*4</f>
        <v>446</v>
      </c>
      <c r="E61" s="4">
        <v>5</v>
      </c>
      <c r="F61" s="4">
        <v>10</v>
      </c>
      <c r="G61" s="4">
        <v>7</v>
      </c>
      <c r="H61" s="4"/>
      <c r="I61" s="4">
        <v>2</v>
      </c>
      <c r="J61" s="4">
        <v>2</v>
      </c>
      <c r="K61" s="4"/>
      <c r="L61" s="4">
        <v>1</v>
      </c>
      <c r="M61" s="4">
        <v>1</v>
      </c>
      <c r="N61" s="4"/>
      <c r="O61">
        <f>+SUM(E61:N61)</f>
        <v>28</v>
      </c>
    </row>
    <row r="62" spans="1:15" s="2" customFormat="1" ht="25.15" customHeight="1">
      <c r="A62" s="30" t="s">
        <v>40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/>
    </row>
    <row r="63" spans="1:15" ht="15" customHeight="1">
      <c r="A63" s="6" t="s">
        <v>55</v>
      </c>
      <c r="B63" s="19" t="s">
        <v>50</v>
      </c>
      <c r="C63" s="19" t="s">
        <v>1</v>
      </c>
      <c r="D63" s="5" t="s">
        <v>51</v>
      </c>
      <c r="E63" s="6">
        <v>20</v>
      </c>
      <c r="F63" s="6">
        <v>18</v>
      </c>
      <c r="G63" s="6">
        <v>16</v>
      </c>
      <c r="H63" s="6">
        <v>14</v>
      </c>
      <c r="I63" s="6">
        <v>12</v>
      </c>
      <c r="J63" s="6">
        <v>10</v>
      </c>
      <c r="K63" s="6">
        <v>8</v>
      </c>
      <c r="L63" s="6">
        <v>6</v>
      </c>
      <c r="M63" s="6">
        <v>4</v>
      </c>
      <c r="N63" s="6">
        <v>0</v>
      </c>
      <c r="O63" s="2" t="s">
        <v>52</v>
      </c>
    </row>
    <row r="64" spans="1:15" ht="15" customHeight="1">
      <c r="A64" s="12">
        <v>1</v>
      </c>
      <c r="B64" s="20" t="s">
        <v>134</v>
      </c>
      <c r="C64" s="20" t="s">
        <v>0</v>
      </c>
      <c r="D64" s="27">
        <f t="shared" ref="D64:D66" si="4">+E64*20+F64*18+G64*16+H64*14+I64*12+J64*10+K64*8+L64*6+M64*4</f>
        <v>502</v>
      </c>
      <c r="E64" s="4">
        <v>8</v>
      </c>
      <c r="F64" s="4">
        <v>14</v>
      </c>
      <c r="G64" s="4">
        <v>5</v>
      </c>
      <c r="H64" s="4"/>
      <c r="I64" s="4"/>
      <c r="J64" s="4">
        <v>1</v>
      </c>
      <c r="K64" s="4"/>
      <c r="L64" s="4"/>
      <c r="M64" s="4"/>
      <c r="N64" s="4"/>
      <c r="O64">
        <f t="shared" ref="O64:O66" si="5">+SUM(E64:N64)</f>
        <v>28</v>
      </c>
    </row>
    <row r="65" spans="1:15" ht="15" customHeight="1">
      <c r="A65" s="12">
        <v>2</v>
      </c>
      <c r="B65" s="21" t="s">
        <v>41</v>
      </c>
      <c r="C65" s="21" t="s">
        <v>0</v>
      </c>
      <c r="D65" s="27">
        <f t="shared" si="4"/>
        <v>464</v>
      </c>
      <c r="E65" s="4">
        <v>4</v>
      </c>
      <c r="F65" s="4">
        <v>10</v>
      </c>
      <c r="G65" s="4">
        <v>12</v>
      </c>
      <c r="H65" s="4"/>
      <c r="I65" s="4">
        <v>1</v>
      </c>
      <c r="J65" s="4"/>
      <c r="K65" s="4"/>
      <c r="L65" s="4"/>
      <c r="M65" s="4"/>
      <c r="N65" s="4">
        <v>1</v>
      </c>
      <c r="O65">
        <f t="shared" si="5"/>
        <v>28</v>
      </c>
    </row>
    <row r="66" spans="1:15" ht="15" customHeight="1">
      <c r="A66" s="12">
        <v>3</v>
      </c>
      <c r="B66" s="20" t="s">
        <v>151</v>
      </c>
      <c r="C66" s="20" t="s">
        <v>10</v>
      </c>
      <c r="D66" s="27">
        <f t="shared" si="4"/>
        <v>384</v>
      </c>
      <c r="E66" s="4"/>
      <c r="F66" s="4">
        <v>4</v>
      </c>
      <c r="G66" s="4">
        <v>14</v>
      </c>
      <c r="H66" s="4"/>
      <c r="I66" s="4">
        <v>4</v>
      </c>
      <c r="J66" s="4">
        <v>2</v>
      </c>
      <c r="K66" s="4"/>
      <c r="L66" s="4">
        <v>2</v>
      </c>
      <c r="M66" s="4">
        <v>2</v>
      </c>
      <c r="N66" s="4"/>
      <c r="O66">
        <f t="shared" si="5"/>
        <v>28</v>
      </c>
    </row>
    <row r="67" spans="1:15" s="2" customFormat="1" ht="25.15" customHeight="1">
      <c r="A67" s="30" t="s">
        <v>37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/>
    </row>
    <row r="68" spans="1:15" ht="15" customHeight="1">
      <c r="A68" s="6" t="s">
        <v>55</v>
      </c>
      <c r="B68" s="19" t="s">
        <v>50</v>
      </c>
      <c r="C68" s="19" t="s">
        <v>1</v>
      </c>
      <c r="D68" s="5" t="s">
        <v>51</v>
      </c>
      <c r="E68" s="6">
        <v>20</v>
      </c>
      <c r="F68" s="6">
        <v>18</v>
      </c>
      <c r="G68" s="6">
        <v>16</v>
      </c>
      <c r="H68" s="6">
        <v>14</v>
      </c>
      <c r="I68" s="6">
        <v>12</v>
      </c>
      <c r="J68" s="6">
        <v>10</v>
      </c>
      <c r="K68" s="6">
        <v>8</v>
      </c>
      <c r="L68" s="6">
        <v>6</v>
      </c>
      <c r="M68" s="6">
        <v>4</v>
      </c>
      <c r="N68" s="6">
        <v>0</v>
      </c>
      <c r="O68" s="2" t="s">
        <v>52</v>
      </c>
    </row>
    <row r="69" spans="1:15" ht="15" customHeight="1">
      <c r="A69" s="12">
        <v>1</v>
      </c>
      <c r="B69" s="21" t="s">
        <v>38</v>
      </c>
      <c r="C69" s="21" t="s">
        <v>6</v>
      </c>
      <c r="D69" s="27">
        <f t="shared" ref="D69:D72" si="6">+E69*20+F69*18+G69*16+H69*14+I69*12+J69*10+K69*8+L69*6+M69*4</f>
        <v>492</v>
      </c>
      <c r="E69" s="4">
        <v>7</v>
      </c>
      <c r="F69" s="4">
        <v>10</v>
      </c>
      <c r="G69" s="4">
        <v>10</v>
      </c>
      <c r="H69" s="4"/>
      <c r="I69" s="4">
        <v>1</v>
      </c>
      <c r="J69" s="4"/>
      <c r="K69" s="4"/>
      <c r="L69" s="4"/>
      <c r="M69" s="4"/>
      <c r="N69" s="4"/>
      <c r="O69">
        <f t="shared" ref="O69:O72" si="7">+SUM(E69:N69)</f>
        <v>28</v>
      </c>
    </row>
    <row r="70" spans="1:15" ht="15" customHeight="1">
      <c r="A70" s="12">
        <v>2</v>
      </c>
      <c r="B70" s="20" t="s">
        <v>133</v>
      </c>
      <c r="C70" s="20" t="s">
        <v>6</v>
      </c>
      <c r="D70" s="27">
        <f t="shared" si="6"/>
        <v>484</v>
      </c>
      <c r="E70" s="4">
        <v>9</v>
      </c>
      <c r="F70" s="4">
        <v>9</v>
      </c>
      <c r="G70" s="4">
        <v>8</v>
      </c>
      <c r="H70" s="4"/>
      <c r="I70" s="4"/>
      <c r="J70" s="4">
        <v>1</v>
      </c>
      <c r="K70" s="4"/>
      <c r="L70" s="4"/>
      <c r="M70" s="4">
        <v>1</v>
      </c>
      <c r="N70" s="4"/>
      <c r="O70">
        <f t="shared" si="7"/>
        <v>28</v>
      </c>
    </row>
    <row r="71" spans="1:15" ht="15" customHeight="1">
      <c r="A71" s="12">
        <v>3</v>
      </c>
      <c r="B71" s="21" t="s">
        <v>84</v>
      </c>
      <c r="C71" s="22" t="s">
        <v>67</v>
      </c>
      <c r="D71" s="27">
        <f t="shared" si="6"/>
        <v>456</v>
      </c>
      <c r="E71" s="4">
        <v>3</v>
      </c>
      <c r="F71" s="4">
        <v>10</v>
      </c>
      <c r="G71" s="4">
        <v>11</v>
      </c>
      <c r="H71" s="4">
        <v>1</v>
      </c>
      <c r="I71" s="4">
        <v>1</v>
      </c>
      <c r="J71" s="4">
        <v>1</v>
      </c>
      <c r="K71" s="4"/>
      <c r="L71" s="4"/>
      <c r="M71" s="4">
        <v>1</v>
      </c>
      <c r="N71" s="4"/>
      <c r="O71">
        <f t="shared" si="7"/>
        <v>28</v>
      </c>
    </row>
    <row r="72" spans="1:15" ht="15" customHeight="1">
      <c r="A72" s="12">
        <v>4</v>
      </c>
      <c r="B72" s="20" t="s">
        <v>156</v>
      </c>
      <c r="C72" s="20" t="s">
        <v>67</v>
      </c>
      <c r="D72" s="27">
        <f t="shared" si="6"/>
        <v>432</v>
      </c>
      <c r="E72" s="4">
        <v>7</v>
      </c>
      <c r="F72" s="4">
        <v>5</v>
      </c>
      <c r="G72" s="4">
        <v>8</v>
      </c>
      <c r="H72" s="4"/>
      <c r="I72" s="4">
        <v>1</v>
      </c>
      <c r="J72" s="4">
        <v>5</v>
      </c>
      <c r="K72" s="4"/>
      <c r="L72" s="4">
        <v>2</v>
      </c>
      <c r="M72" s="4"/>
      <c r="N72" s="4"/>
      <c r="O72">
        <f t="shared" si="7"/>
        <v>28</v>
      </c>
    </row>
    <row r="73" spans="1:15" s="2" customFormat="1" ht="25.15" customHeight="1">
      <c r="A73" s="30" t="s">
        <v>58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/>
    </row>
    <row r="74" spans="1:15" ht="15" customHeight="1">
      <c r="A74" s="6" t="s">
        <v>55</v>
      </c>
      <c r="B74" s="19" t="s">
        <v>50</v>
      </c>
      <c r="C74" s="19" t="s">
        <v>1</v>
      </c>
      <c r="D74" s="5" t="s">
        <v>51</v>
      </c>
      <c r="E74" s="6">
        <v>20</v>
      </c>
      <c r="F74" s="6">
        <v>18</v>
      </c>
      <c r="G74" s="6">
        <v>16</v>
      </c>
      <c r="H74" s="6">
        <v>14</v>
      </c>
      <c r="I74" s="6">
        <v>12</v>
      </c>
      <c r="J74" s="6">
        <v>10</v>
      </c>
      <c r="K74" s="6">
        <v>8</v>
      </c>
      <c r="L74" s="6">
        <v>6</v>
      </c>
      <c r="M74" s="6">
        <v>4</v>
      </c>
      <c r="N74" s="6">
        <v>0</v>
      </c>
      <c r="O74" s="2" t="s">
        <v>52</v>
      </c>
    </row>
    <row r="75" spans="1:15" ht="15" customHeight="1">
      <c r="A75" s="12">
        <v>1</v>
      </c>
      <c r="B75" s="7" t="s">
        <v>139</v>
      </c>
      <c r="C75" s="7" t="s">
        <v>6</v>
      </c>
      <c r="D75" s="27">
        <f t="shared" ref="D75:D83" si="8">+E75*20+F75*18+G75*16+H75*14+I75*12+J75*10+K75*8+L75*6+M75*4</f>
        <v>500</v>
      </c>
      <c r="E75" s="4">
        <v>9</v>
      </c>
      <c r="F75" s="4">
        <v>8</v>
      </c>
      <c r="G75" s="4">
        <v>11</v>
      </c>
      <c r="H75" s="4"/>
      <c r="I75" s="4"/>
      <c r="J75" s="4"/>
      <c r="K75" s="4"/>
      <c r="L75" s="4"/>
      <c r="M75" s="4"/>
      <c r="N75" s="4"/>
      <c r="O75">
        <f t="shared" ref="O75:O83" si="9">+SUM(E75:N75)</f>
        <v>28</v>
      </c>
    </row>
    <row r="76" spans="1:15" ht="15" customHeight="1">
      <c r="A76" s="12">
        <v>2</v>
      </c>
      <c r="B76" s="20" t="s">
        <v>138</v>
      </c>
      <c r="C76" s="20" t="s">
        <v>67</v>
      </c>
      <c r="D76" s="27">
        <f t="shared" si="8"/>
        <v>490</v>
      </c>
      <c r="E76" s="4">
        <v>10</v>
      </c>
      <c r="F76" s="4">
        <v>13</v>
      </c>
      <c r="G76" s="4">
        <v>2</v>
      </c>
      <c r="H76" s="4"/>
      <c r="I76" s="4">
        <v>2</v>
      </c>
      <c r="J76" s="4"/>
      <c r="K76" s="4"/>
      <c r="L76" s="4"/>
      <c r="M76" s="4"/>
      <c r="N76" s="4">
        <v>1</v>
      </c>
      <c r="O76">
        <f t="shared" si="9"/>
        <v>28</v>
      </c>
    </row>
    <row r="77" spans="1:15" ht="15" customHeight="1">
      <c r="A77" s="12">
        <v>3</v>
      </c>
      <c r="B77" s="20" t="s">
        <v>137</v>
      </c>
      <c r="C77" s="20" t="s">
        <v>6</v>
      </c>
      <c r="D77" s="27">
        <f t="shared" si="8"/>
        <v>490</v>
      </c>
      <c r="E77" s="4">
        <v>8</v>
      </c>
      <c r="F77" s="4">
        <v>8</v>
      </c>
      <c r="G77" s="4">
        <v>10</v>
      </c>
      <c r="H77" s="4">
        <v>1</v>
      </c>
      <c r="I77" s="4">
        <v>1</v>
      </c>
      <c r="J77" s="4"/>
      <c r="K77" s="4"/>
      <c r="L77" s="4"/>
      <c r="M77" s="4"/>
      <c r="N77" s="4"/>
      <c r="O77">
        <f t="shared" si="9"/>
        <v>28</v>
      </c>
    </row>
    <row r="78" spans="1:15" ht="15" customHeight="1">
      <c r="A78" s="12">
        <v>4</v>
      </c>
      <c r="B78" s="21" t="s">
        <v>44</v>
      </c>
      <c r="C78" s="21" t="s">
        <v>20</v>
      </c>
      <c r="D78" s="27">
        <f t="shared" si="8"/>
        <v>468</v>
      </c>
      <c r="E78" s="4">
        <v>3</v>
      </c>
      <c r="F78" s="4">
        <v>14</v>
      </c>
      <c r="G78" s="4">
        <v>7</v>
      </c>
      <c r="H78" s="4"/>
      <c r="I78" s="4">
        <v>2</v>
      </c>
      <c r="J78" s="4">
        <v>2</v>
      </c>
      <c r="K78" s="4"/>
      <c r="L78" s="4"/>
      <c r="M78" s="4"/>
      <c r="N78" s="4"/>
      <c r="O78">
        <f t="shared" si="9"/>
        <v>28</v>
      </c>
    </row>
    <row r="79" spans="1:15" ht="15" customHeight="1">
      <c r="A79" s="12">
        <v>5</v>
      </c>
      <c r="B79" s="21" t="s">
        <v>45</v>
      </c>
      <c r="C79" s="22" t="s">
        <v>67</v>
      </c>
      <c r="D79" s="27">
        <f t="shared" si="8"/>
        <v>442</v>
      </c>
      <c r="E79" s="4">
        <v>3</v>
      </c>
      <c r="F79" s="4">
        <v>10</v>
      </c>
      <c r="G79" s="4">
        <v>10</v>
      </c>
      <c r="H79" s="4"/>
      <c r="I79" s="4"/>
      <c r="J79" s="4">
        <v>3</v>
      </c>
      <c r="K79" s="4">
        <v>1</v>
      </c>
      <c r="L79" s="4"/>
      <c r="M79" s="4">
        <v>1</v>
      </c>
      <c r="N79" s="4"/>
      <c r="O79">
        <f t="shared" si="9"/>
        <v>28</v>
      </c>
    </row>
    <row r="80" spans="1:15" ht="15" customHeight="1">
      <c r="A80" s="12">
        <v>6</v>
      </c>
      <c r="B80" s="21" t="s">
        <v>53</v>
      </c>
      <c r="C80" s="21" t="s">
        <v>85</v>
      </c>
      <c r="D80" s="27">
        <f t="shared" si="8"/>
        <v>424</v>
      </c>
      <c r="E80" s="4">
        <v>2</v>
      </c>
      <c r="F80" s="4">
        <v>7</v>
      </c>
      <c r="G80" s="4">
        <v>12</v>
      </c>
      <c r="H80" s="4">
        <v>1</v>
      </c>
      <c r="I80" s="4">
        <v>2</v>
      </c>
      <c r="J80" s="4">
        <v>2</v>
      </c>
      <c r="K80" s="4"/>
      <c r="L80" s="4"/>
      <c r="M80" s="4">
        <v>2</v>
      </c>
      <c r="N80" s="4"/>
      <c r="O80">
        <f t="shared" si="9"/>
        <v>28</v>
      </c>
    </row>
    <row r="81" spans="1:15" ht="15" customHeight="1">
      <c r="A81" s="12">
        <v>7</v>
      </c>
      <c r="B81" s="21" t="s">
        <v>89</v>
      </c>
      <c r="C81" s="22" t="s">
        <v>67</v>
      </c>
      <c r="D81" s="27">
        <f t="shared" si="8"/>
        <v>398</v>
      </c>
      <c r="E81" s="4">
        <v>2</v>
      </c>
      <c r="F81" s="4">
        <v>7</v>
      </c>
      <c r="G81" s="4">
        <v>9</v>
      </c>
      <c r="H81" s="4"/>
      <c r="I81" s="4">
        <v>4</v>
      </c>
      <c r="J81" s="4">
        <v>4</v>
      </c>
      <c r="K81" s="4"/>
      <c r="L81" s="4"/>
      <c r="M81" s="4"/>
      <c r="N81" s="4">
        <v>2</v>
      </c>
      <c r="O81">
        <f t="shared" si="9"/>
        <v>28</v>
      </c>
    </row>
    <row r="82" spans="1:15" ht="15" customHeight="1">
      <c r="A82" s="12">
        <v>8</v>
      </c>
      <c r="B82" s="21" t="s">
        <v>88</v>
      </c>
      <c r="C82" s="22" t="s">
        <v>67</v>
      </c>
      <c r="D82" s="27">
        <f t="shared" si="8"/>
        <v>396</v>
      </c>
      <c r="E82" s="4"/>
      <c r="F82" s="4">
        <v>6</v>
      </c>
      <c r="G82" s="4">
        <v>14</v>
      </c>
      <c r="H82" s="4">
        <v>1</v>
      </c>
      <c r="I82" s="4">
        <v>1</v>
      </c>
      <c r="J82" s="4">
        <v>3</v>
      </c>
      <c r="K82" s="4"/>
      <c r="L82" s="4"/>
      <c r="M82" s="4">
        <v>2</v>
      </c>
      <c r="N82" s="4">
        <v>1</v>
      </c>
      <c r="O82">
        <f t="shared" si="9"/>
        <v>28</v>
      </c>
    </row>
    <row r="83" spans="1:15" ht="15" customHeight="1">
      <c r="A83" s="12">
        <v>9</v>
      </c>
      <c r="B83" s="20" t="s">
        <v>157</v>
      </c>
      <c r="C83" s="20" t="s">
        <v>6</v>
      </c>
      <c r="D83" s="27">
        <f t="shared" si="8"/>
        <v>374</v>
      </c>
      <c r="E83" s="4">
        <v>3</v>
      </c>
      <c r="F83" s="4">
        <v>6</v>
      </c>
      <c r="G83" s="4">
        <v>8</v>
      </c>
      <c r="H83" s="4">
        <v>1</v>
      </c>
      <c r="I83" s="4">
        <v>2</v>
      </c>
      <c r="J83" s="4">
        <v>4</v>
      </c>
      <c r="K83" s="4"/>
      <c r="L83" s="4"/>
      <c r="M83" s="4"/>
      <c r="N83" s="4">
        <v>4</v>
      </c>
      <c r="O83">
        <f t="shared" si="9"/>
        <v>28</v>
      </c>
    </row>
    <row r="84" spans="1:15" s="2" customFormat="1" ht="25.15" customHeight="1">
      <c r="A84" s="30" t="s">
        <v>59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/>
    </row>
    <row r="85" spans="1:15" ht="15" customHeight="1">
      <c r="A85" s="6" t="s">
        <v>55</v>
      </c>
      <c r="B85" s="19" t="s">
        <v>50</v>
      </c>
      <c r="C85" s="19" t="s">
        <v>1</v>
      </c>
      <c r="D85" s="5" t="s">
        <v>51</v>
      </c>
      <c r="E85" s="6">
        <v>20</v>
      </c>
      <c r="F85" s="6">
        <v>18</v>
      </c>
      <c r="G85" s="6">
        <v>16</v>
      </c>
      <c r="H85" s="6">
        <v>14</v>
      </c>
      <c r="I85" s="6">
        <v>12</v>
      </c>
      <c r="J85" s="6">
        <v>10</v>
      </c>
      <c r="K85" s="6">
        <v>8</v>
      </c>
      <c r="L85" s="6">
        <v>6</v>
      </c>
      <c r="M85" s="6">
        <v>4</v>
      </c>
      <c r="N85" s="6">
        <v>0</v>
      </c>
      <c r="O85" s="2" t="s">
        <v>52</v>
      </c>
    </row>
    <row r="86" spans="1:15" ht="15" customHeight="1">
      <c r="A86" s="12">
        <v>1</v>
      </c>
      <c r="B86" s="21" t="s">
        <v>21</v>
      </c>
      <c r="C86" s="21" t="s">
        <v>0</v>
      </c>
      <c r="D86" s="27">
        <f t="shared" ref="D86:D96" si="10">+E86*20+F86*18+G86*16+H86*14+I86*12+J86*10+K86*8+L86*6+M86*4</f>
        <v>508</v>
      </c>
      <c r="E86" s="4">
        <v>9</v>
      </c>
      <c r="F86" s="4">
        <v>14</v>
      </c>
      <c r="G86" s="4">
        <v>4</v>
      </c>
      <c r="H86" s="4"/>
      <c r="I86" s="4">
        <v>1</v>
      </c>
      <c r="J86" s="4"/>
      <c r="K86" s="4"/>
      <c r="L86" s="4"/>
      <c r="M86" s="4"/>
      <c r="N86" s="4"/>
      <c r="O86">
        <f t="shared" ref="O86:O96" si="11">+SUM(E86:N86)</f>
        <v>28</v>
      </c>
    </row>
    <row r="87" spans="1:15" ht="15" customHeight="1">
      <c r="A87" s="12">
        <v>2</v>
      </c>
      <c r="B87" s="21" t="s">
        <v>81</v>
      </c>
      <c r="C87" s="21" t="s">
        <v>9</v>
      </c>
      <c r="D87" s="27">
        <f t="shared" si="10"/>
        <v>496</v>
      </c>
      <c r="E87" s="4">
        <v>7</v>
      </c>
      <c r="F87" s="4">
        <v>12</v>
      </c>
      <c r="G87" s="4">
        <v>8</v>
      </c>
      <c r="H87" s="4"/>
      <c r="I87" s="4">
        <v>1</v>
      </c>
      <c r="J87" s="4"/>
      <c r="K87" s="4"/>
      <c r="L87" s="4"/>
      <c r="M87" s="4"/>
      <c r="N87" s="4"/>
      <c r="O87">
        <f t="shared" si="11"/>
        <v>28</v>
      </c>
    </row>
    <row r="88" spans="1:15" ht="15" customHeight="1">
      <c r="A88" s="12">
        <v>3</v>
      </c>
      <c r="B88" s="21" t="s">
        <v>18</v>
      </c>
      <c r="C88" s="21" t="s">
        <v>10</v>
      </c>
      <c r="D88" s="27">
        <f t="shared" si="10"/>
        <v>496</v>
      </c>
      <c r="E88" s="4">
        <v>6</v>
      </c>
      <c r="F88" s="4">
        <v>16</v>
      </c>
      <c r="G88" s="4">
        <v>4</v>
      </c>
      <c r="H88" s="4"/>
      <c r="I88" s="4">
        <v>2</v>
      </c>
      <c r="J88" s="4"/>
      <c r="K88" s="4"/>
      <c r="L88" s="4"/>
      <c r="M88" s="4"/>
      <c r="N88" s="4"/>
      <c r="O88">
        <f t="shared" si="11"/>
        <v>28</v>
      </c>
    </row>
    <row r="89" spans="1:15" ht="15" customHeight="1">
      <c r="A89" s="12">
        <v>4</v>
      </c>
      <c r="B89" s="21" t="s">
        <v>117</v>
      </c>
      <c r="C89" s="21" t="s">
        <v>67</v>
      </c>
      <c r="D89" s="27">
        <f t="shared" si="10"/>
        <v>494</v>
      </c>
      <c r="E89" s="4">
        <v>12</v>
      </c>
      <c r="F89" s="4">
        <v>7</v>
      </c>
      <c r="G89" s="4">
        <v>6</v>
      </c>
      <c r="H89" s="4"/>
      <c r="I89" s="4">
        <v>2</v>
      </c>
      <c r="J89" s="4"/>
      <c r="K89" s="4">
        <v>1</v>
      </c>
      <c r="L89" s="4"/>
      <c r="M89" s="4"/>
      <c r="N89" s="4"/>
      <c r="O89">
        <f t="shared" si="11"/>
        <v>28</v>
      </c>
    </row>
    <row r="90" spans="1:15" ht="15" customHeight="1">
      <c r="A90" s="12">
        <v>5</v>
      </c>
      <c r="B90" s="21" t="s">
        <v>22</v>
      </c>
      <c r="C90" s="22" t="s">
        <v>67</v>
      </c>
      <c r="D90" s="27">
        <f t="shared" si="10"/>
        <v>490</v>
      </c>
      <c r="E90" s="4">
        <v>6</v>
      </c>
      <c r="F90" s="4">
        <v>12</v>
      </c>
      <c r="G90" s="4">
        <v>9</v>
      </c>
      <c r="H90" s="4"/>
      <c r="I90" s="4"/>
      <c r="J90" s="4">
        <v>1</v>
      </c>
      <c r="K90" s="4"/>
      <c r="L90" s="4"/>
      <c r="M90" s="4"/>
      <c r="N90" s="4"/>
      <c r="O90">
        <f t="shared" si="11"/>
        <v>28</v>
      </c>
    </row>
    <row r="91" spans="1:15" ht="15" customHeight="1">
      <c r="A91" s="12">
        <v>6</v>
      </c>
      <c r="B91" s="21" t="s">
        <v>118</v>
      </c>
      <c r="C91" s="21" t="s">
        <v>144</v>
      </c>
      <c r="D91" s="27">
        <f t="shared" si="10"/>
        <v>480</v>
      </c>
      <c r="E91" s="4">
        <v>5</v>
      </c>
      <c r="F91" s="4">
        <v>12</v>
      </c>
      <c r="G91" s="4">
        <v>9</v>
      </c>
      <c r="H91" s="4"/>
      <c r="I91" s="4"/>
      <c r="J91" s="4">
        <v>2</v>
      </c>
      <c r="K91" s="4"/>
      <c r="L91" s="4"/>
      <c r="M91" s="4"/>
      <c r="N91" s="4"/>
      <c r="O91">
        <f t="shared" si="11"/>
        <v>28</v>
      </c>
    </row>
    <row r="92" spans="1:15" ht="15" customHeight="1">
      <c r="A92" s="12">
        <v>7</v>
      </c>
      <c r="B92" s="21" t="s">
        <v>116</v>
      </c>
      <c r="C92" s="22" t="s">
        <v>0</v>
      </c>
      <c r="D92" s="27">
        <f t="shared" si="10"/>
        <v>474</v>
      </c>
      <c r="E92" s="4">
        <v>4</v>
      </c>
      <c r="F92" s="4">
        <v>13</v>
      </c>
      <c r="G92" s="4">
        <v>8</v>
      </c>
      <c r="H92" s="4"/>
      <c r="I92" s="4">
        <v>1</v>
      </c>
      <c r="J92" s="4">
        <v>2</v>
      </c>
      <c r="K92" s="4"/>
      <c r="L92" s="4"/>
      <c r="M92" s="4"/>
      <c r="N92" s="4"/>
      <c r="O92">
        <f t="shared" si="11"/>
        <v>28</v>
      </c>
    </row>
    <row r="93" spans="1:15" ht="15" customHeight="1">
      <c r="A93" s="12">
        <v>8</v>
      </c>
      <c r="B93" s="21" t="s">
        <v>19</v>
      </c>
      <c r="C93" s="22" t="s">
        <v>67</v>
      </c>
      <c r="D93" s="27">
        <f t="shared" si="10"/>
        <v>454</v>
      </c>
      <c r="E93" s="4"/>
      <c r="F93" s="4">
        <v>10</v>
      </c>
      <c r="G93" s="4">
        <v>13</v>
      </c>
      <c r="H93" s="4">
        <v>3</v>
      </c>
      <c r="I93" s="4">
        <v>2</v>
      </c>
      <c r="J93" s="4"/>
      <c r="K93" s="4"/>
      <c r="L93" s="4"/>
      <c r="M93" s="4"/>
      <c r="N93" s="4"/>
      <c r="O93">
        <f t="shared" si="11"/>
        <v>28</v>
      </c>
    </row>
    <row r="94" spans="1:15" ht="15" customHeight="1">
      <c r="A94" s="12">
        <v>9</v>
      </c>
      <c r="B94" s="21" t="s">
        <v>79</v>
      </c>
      <c r="C94" s="21" t="s">
        <v>80</v>
      </c>
      <c r="D94" s="27">
        <f t="shared" si="10"/>
        <v>450</v>
      </c>
      <c r="E94" s="4">
        <v>3</v>
      </c>
      <c r="F94" s="4">
        <v>12</v>
      </c>
      <c r="G94" s="4">
        <v>8</v>
      </c>
      <c r="H94" s="4"/>
      <c r="I94" s="4">
        <v>1</v>
      </c>
      <c r="J94" s="4">
        <v>3</v>
      </c>
      <c r="K94" s="4"/>
      <c r="L94" s="4"/>
      <c r="M94" s="4">
        <v>1</v>
      </c>
      <c r="N94" s="4"/>
      <c r="O94">
        <f t="shared" si="11"/>
        <v>28</v>
      </c>
    </row>
    <row r="95" spans="1:15" ht="15" customHeight="1">
      <c r="A95" s="12">
        <v>10</v>
      </c>
      <c r="B95" s="21" t="s">
        <v>129</v>
      </c>
      <c r="C95" s="21" t="s">
        <v>67</v>
      </c>
      <c r="D95" s="27">
        <f t="shared" si="10"/>
        <v>436</v>
      </c>
      <c r="E95" s="4">
        <v>3</v>
      </c>
      <c r="F95" s="4">
        <v>10</v>
      </c>
      <c r="G95" s="4">
        <v>8</v>
      </c>
      <c r="H95" s="4">
        <v>1</v>
      </c>
      <c r="I95" s="4">
        <v>1</v>
      </c>
      <c r="J95" s="4">
        <v>3</v>
      </c>
      <c r="K95" s="4">
        <v>1</v>
      </c>
      <c r="L95" s="4"/>
      <c r="M95" s="4">
        <v>1</v>
      </c>
      <c r="N95" s="4"/>
      <c r="O95">
        <f t="shared" si="11"/>
        <v>28</v>
      </c>
    </row>
    <row r="96" spans="1:15" ht="15" customHeight="1">
      <c r="A96" s="12">
        <v>11</v>
      </c>
      <c r="B96" s="21" t="s">
        <v>17</v>
      </c>
      <c r="C96" s="22" t="s">
        <v>67</v>
      </c>
      <c r="D96" s="27">
        <f t="shared" si="10"/>
        <v>434</v>
      </c>
      <c r="E96" s="4">
        <v>2</v>
      </c>
      <c r="F96" s="4">
        <v>11</v>
      </c>
      <c r="G96" s="4">
        <v>8</v>
      </c>
      <c r="H96" s="4"/>
      <c r="I96" s="4">
        <v>4</v>
      </c>
      <c r="J96" s="4">
        <v>2</v>
      </c>
      <c r="K96" s="4"/>
      <c r="L96" s="4"/>
      <c r="M96" s="4"/>
      <c r="N96" s="4">
        <v>1</v>
      </c>
      <c r="O96">
        <f t="shared" si="11"/>
        <v>28</v>
      </c>
    </row>
    <row r="97" spans="1:16" s="2" customFormat="1" ht="25.15" customHeight="1">
      <c r="A97" s="30" t="s">
        <v>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/>
    </row>
    <row r="98" spans="1:16" ht="15" customHeight="1">
      <c r="A98" s="6" t="s">
        <v>55</v>
      </c>
      <c r="B98" s="19" t="s">
        <v>50</v>
      </c>
      <c r="C98" s="19" t="s">
        <v>1</v>
      </c>
      <c r="D98" s="5" t="s">
        <v>51</v>
      </c>
      <c r="E98" s="6">
        <v>20</v>
      </c>
      <c r="F98" s="6">
        <v>18</v>
      </c>
      <c r="G98" s="6">
        <v>16</v>
      </c>
      <c r="H98" s="6">
        <v>14</v>
      </c>
      <c r="I98" s="6">
        <v>12</v>
      </c>
      <c r="J98" s="6">
        <v>10</v>
      </c>
      <c r="K98" s="6">
        <v>8</v>
      </c>
      <c r="L98" s="6">
        <v>6</v>
      </c>
      <c r="M98" s="6">
        <v>4</v>
      </c>
      <c r="N98" s="6">
        <v>0</v>
      </c>
      <c r="O98" s="2" t="s">
        <v>52</v>
      </c>
    </row>
    <row r="99" spans="1:16" ht="15" customHeight="1">
      <c r="A99" s="12">
        <v>1</v>
      </c>
      <c r="B99" s="21" t="s">
        <v>36</v>
      </c>
      <c r="C99" s="21" t="s">
        <v>0</v>
      </c>
      <c r="D99" s="27">
        <f>+E99*20+F99*18+G99*16+H99*14+I99*12+J99*10+K99*8+L99*6+M99*4</f>
        <v>422</v>
      </c>
      <c r="E99" s="4">
        <v>2</v>
      </c>
      <c r="F99" s="4">
        <v>7</v>
      </c>
      <c r="G99" s="4">
        <v>11</v>
      </c>
      <c r="H99" s="4">
        <v>3</v>
      </c>
      <c r="I99" s="4">
        <v>1</v>
      </c>
      <c r="J99" s="4">
        <v>1</v>
      </c>
      <c r="K99" s="4"/>
      <c r="L99" s="4">
        <v>2</v>
      </c>
      <c r="M99" s="4">
        <v>1</v>
      </c>
      <c r="N99" s="4"/>
      <c r="O99">
        <f>+SUM(E99:N99)</f>
        <v>28</v>
      </c>
    </row>
    <row r="100" spans="1:16" s="2" customFormat="1" ht="25.15" customHeight="1">
      <c r="A100" s="30" t="s">
        <v>39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/>
    </row>
    <row r="101" spans="1:16" ht="15" customHeight="1">
      <c r="A101" s="6" t="s">
        <v>55</v>
      </c>
      <c r="B101" s="19" t="s">
        <v>50</v>
      </c>
      <c r="C101" s="19" t="s">
        <v>1</v>
      </c>
      <c r="D101" s="5" t="s">
        <v>51</v>
      </c>
      <c r="E101" s="6">
        <v>20</v>
      </c>
      <c r="F101" s="6">
        <v>18</v>
      </c>
      <c r="G101" s="6">
        <v>16</v>
      </c>
      <c r="H101" s="6">
        <v>14</v>
      </c>
      <c r="I101" s="6">
        <v>12</v>
      </c>
      <c r="J101" s="6">
        <v>10</v>
      </c>
      <c r="K101" s="6">
        <v>8</v>
      </c>
      <c r="L101" s="6">
        <v>6</v>
      </c>
      <c r="M101" s="6">
        <v>4</v>
      </c>
      <c r="N101" s="6">
        <v>0</v>
      </c>
      <c r="O101" s="2" t="s">
        <v>52</v>
      </c>
    </row>
    <row r="102" spans="1:16" ht="15" customHeight="1">
      <c r="A102" s="12">
        <v>1</v>
      </c>
      <c r="B102" s="20" t="s">
        <v>99</v>
      </c>
      <c r="C102" s="20" t="s">
        <v>100</v>
      </c>
      <c r="D102" s="27">
        <f>+E102*20+F102*18+G102*16+H102*14+I102*12+J102*10+K102*8+L102*6+M102*4</f>
        <v>414</v>
      </c>
      <c r="E102" s="4">
        <v>3</v>
      </c>
      <c r="F102" s="4">
        <v>7</v>
      </c>
      <c r="G102" s="4">
        <v>11</v>
      </c>
      <c r="H102" s="4"/>
      <c r="I102" s="4">
        <v>1</v>
      </c>
      <c r="J102" s="4">
        <v>2</v>
      </c>
      <c r="K102" s="4"/>
      <c r="L102" s="4">
        <v>2</v>
      </c>
      <c r="M102" s="4">
        <v>2</v>
      </c>
      <c r="N102" s="4"/>
      <c r="O102">
        <f>+SUM(E102:N102)</f>
        <v>28</v>
      </c>
    </row>
    <row r="103" spans="1:16" s="2" customFormat="1" ht="25.15" customHeight="1">
      <c r="A103" s="30" t="s">
        <v>60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/>
    </row>
    <row r="104" spans="1:16" ht="15" customHeight="1">
      <c r="A104" s="6" t="s">
        <v>55</v>
      </c>
      <c r="B104" s="19" t="s">
        <v>50</v>
      </c>
      <c r="C104" s="19" t="s">
        <v>1</v>
      </c>
      <c r="D104" s="5" t="s">
        <v>51</v>
      </c>
      <c r="E104" s="6">
        <v>20</v>
      </c>
      <c r="F104" s="6">
        <v>18</v>
      </c>
      <c r="G104" s="6">
        <v>16</v>
      </c>
      <c r="H104" s="6">
        <v>14</v>
      </c>
      <c r="I104" s="6">
        <v>12</v>
      </c>
      <c r="J104" s="6">
        <v>10</v>
      </c>
      <c r="K104" s="6">
        <v>8</v>
      </c>
      <c r="L104" s="6">
        <v>6</v>
      </c>
      <c r="M104" s="6">
        <v>4</v>
      </c>
      <c r="N104" s="6">
        <v>0</v>
      </c>
      <c r="O104" s="2" t="s">
        <v>52</v>
      </c>
    </row>
    <row r="105" spans="1:16" ht="15" customHeight="1">
      <c r="A105" s="12">
        <v>1</v>
      </c>
      <c r="B105" s="21" t="s">
        <v>90</v>
      </c>
      <c r="C105" s="21" t="s">
        <v>10</v>
      </c>
      <c r="D105" s="27">
        <f t="shared" ref="D105:D113" si="12">+E105*20+F105*18+G105*16+H105*14+I105*12+J105*10+K105*8+L105*6+M105*4</f>
        <v>460</v>
      </c>
      <c r="E105" s="4">
        <v>2</v>
      </c>
      <c r="F105" s="4">
        <v>11</v>
      </c>
      <c r="G105" s="4">
        <v>11</v>
      </c>
      <c r="H105" s="4"/>
      <c r="I105" s="4">
        <v>3</v>
      </c>
      <c r="J105" s="4">
        <v>1</v>
      </c>
      <c r="K105" s="4"/>
      <c r="L105" s="4"/>
      <c r="M105" s="4"/>
      <c r="N105" s="4"/>
      <c r="O105">
        <f t="shared" ref="O105:O113" si="13">+SUM(E105:N105)</f>
        <v>28</v>
      </c>
    </row>
    <row r="106" spans="1:16" ht="15" customHeight="1">
      <c r="A106" s="12">
        <v>2</v>
      </c>
      <c r="B106" s="20" t="s">
        <v>49</v>
      </c>
      <c r="C106" s="20" t="s">
        <v>0</v>
      </c>
      <c r="D106" s="27">
        <f t="shared" si="12"/>
        <v>450</v>
      </c>
      <c r="E106" s="4">
        <v>3</v>
      </c>
      <c r="F106" s="4">
        <v>8</v>
      </c>
      <c r="G106" s="4">
        <v>12</v>
      </c>
      <c r="H106" s="4">
        <v>1</v>
      </c>
      <c r="I106" s="4"/>
      <c r="J106" s="4">
        <v>4</v>
      </c>
      <c r="K106" s="4"/>
      <c r="L106" s="4"/>
      <c r="M106" s="4"/>
      <c r="N106" s="4"/>
      <c r="O106">
        <f t="shared" si="13"/>
        <v>28</v>
      </c>
    </row>
    <row r="107" spans="1:16" ht="15" customHeight="1">
      <c r="A107" s="12">
        <v>3</v>
      </c>
      <c r="B107" s="21" t="s">
        <v>48</v>
      </c>
      <c r="C107" s="21" t="s">
        <v>144</v>
      </c>
      <c r="D107" s="27">
        <f t="shared" si="12"/>
        <v>446</v>
      </c>
      <c r="E107" s="4">
        <v>2</v>
      </c>
      <c r="F107" s="4">
        <v>11</v>
      </c>
      <c r="G107" s="4">
        <v>10</v>
      </c>
      <c r="H107" s="4">
        <v>1</v>
      </c>
      <c r="I107" s="4"/>
      <c r="J107" s="4">
        <v>3</v>
      </c>
      <c r="K107" s="4"/>
      <c r="L107" s="4"/>
      <c r="M107" s="4">
        <v>1</v>
      </c>
      <c r="N107" s="4"/>
      <c r="O107">
        <f t="shared" si="13"/>
        <v>28</v>
      </c>
    </row>
    <row r="108" spans="1:16" ht="15" customHeight="1">
      <c r="A108" s="12">
        <v>4</v>
      </c>
      <c r="B108" s="21" t="s">
        <v>47</v>
      </c>
      <c r="C108" s="21" t="s">
        <v>10</v>
      </c>
      <c r="D108" s="27">
        <f t="shared" si="12"/>
        <v>438</v>
      </c>
      <c r="E108" s="4">
        <v>3</v>
      </c>
      <c r="F108" s="4">
        <v>8</v>
      </c>
      <c r="G108" s="4">
        <v>13</v>
      </c>
      <c r="H108" s="4"/>
      <c r="I108" s="4"/>
      <c r="J108" s="4">
        <v>1</v>
      </c>
      <c r="K108" s="4">
        <v>1</v>
      </c>
      <c r="L108" s="4"/>
      <c r="M108" s="4">
        <v>2</v>
      </c>
      <c r="N108" s="4"/>
      <c r="O108">
        <f t="shared" si="13"/>
        <v>28</v>
      </c>
    </row>
    <row r="109" spans="1:16" ht="15" customHeight="1">
      <c r="A109" s="12">
        <v>5</v>
      </c>
      <c r="B109" s="21" t="s">
        <v>46</v>
      </c>
      <c r="C109" s="21" t="s">
        <v>91</v>
      </c>
      <c r="D109" s="27">
        <f t="shared" si="12"/>
        <v>436</v>
      </c>
      <c r="E109" s="4">
        <v>2</v>
      </c>
      <c r="F109" s="4">
        <v>8</v>
      </c>
      <c r="G109" s="4">
        <v>12</v>
      </c>
      <c r="H109" s="4">
        <v>1</v>
      </c>
      <c r="I109" s="4">
        <v>1</v>
      </c>
      <c r="J109" s="4">
        <v>3</v>
      </c>
      <c r="K109" s="4"/>
      <c r="L109" s="4"/>
      <c r="M109" s="4">
        <v>1</v>
      </c>
      <c r="N109" s="4"/>
      <c r="O109">
        <f t="shared" si="13"/>
        <v>28</v>
      </c>
    </row>
    <row r="110" spans="1:16" ht="15" customHeight="1">
      <c r="A110" s="12">
        <v>6</v>
      </c>
      <c r="B110" s="20" t="s">
        <v>141</v>
      </c>
      <c r="C110" s="20" t="s">
        <v>10</v>
      </c>
      <c r="D110" s="27">
        <f t="shared" si="12"/>
        <v>422</v>
      </c>
      <c r="E110" s="4">
        <v>5</v>
      </c>
      <c r="F110" s="4">
        <v>5</v>
      </c>
      <c r="G110" s="4">
        <v>10</v>
      </c>
      <c r="H110" s="4">
        <v>2</v>
      </c>
      <c r="I110" s="4">
        <v>1</v>
      </c>
      <c r="J110" s="4">
        <v>2</v>
      </c>
      <c r="K110" s="4">
        <v>1</v>
      </c>
      <c r="L110" s="4"/>
      <c r="M110" s="4">
        <v>1</v>
      </c>
      <c r="N110" s="4">
        <v>1</v>
      </c>
      <c r="O110">
        <f t="shared" si="13"/>
        <v>28</v>
      </c>
    </row>
    <row r="111" spans="1:16" ht="15" customHeight="1">
      <c r="A111" s="12">
        <v>7</v>
      </c>
      <c r="B111" s="21" t="s">
        <v>92</v>
      </c>
      <c r="C111" s="21" t="s">
        <v>6</v>
      </c>
      <c r="D111" s="27">
        <f t="shared" si="12"/>
        <v>400</v>
      </c>
      <c r="E111" s="4">
        <v>1</v>
      </c>
      <c r="F111" s="4">
        <v>10</v>
      </c>
      <c r="G111" s="4">
        <v>8</v>
      </c>
      <c r="H111" s="4"/>
      <c r="I111" s="4">
        <v>3</v>
      </c>
      <c r="J111" s="4">
        <v>3</v>
      </c>
      <c r="K111" s="4"/>
      <c r="L111" s="4">
        <v>1</v>
      </c>
      <c r="M111" s="4"/>
      <c r="N111" s="4">
        <v>2</v>
      </c>
      <c r="O111">
        <f t="shared" si="13"/>
        <v>28</v>
      </c>
    </row>
    <row r="112" spans="1:16" ht="15" customHeight="1">
      <c r="A112" s="12">
        <v>8</v>
      </c>
      <c r="B112" s="20" t="s">
        <v>140</v>
      </c>
      <c r="C112" s="20" t="s">
        <v>144</v>
      </c>
      <c r="D112" s="27">
        <f t="shared" si="12"/>
        <v>388</v>
      </c>
      <c r="E112" s="4">
        <v>3</v>
      </c>
      <c r="F112" s="4">
        <v>3</v>
      </c>
      <c r="G112" s="4">
        <v>10</v>
      </c>
      <c r="H112" s="4">
        <v>1</v>
      </c>
      <c r="I112" s="4">
        <v>2</v>
      </c>
      <c r="J112" s="4">
        <v>7</v>
      </c>
      <c r="K112" s="4"/>
      <c r="L112" s="4">
        <v>1</v>
      </c>
      <c r="M112" s="4"/>
      <c r="N112" s="4">
        <v>1</v>
      </c>
      <c r="O112">
        <f t="shared" si="13"/>
        <v>28</v>
      </c>
      <c r="P112" s="8"/>
    </row>
    <row r="113" spans="1:15" ht="15" customHeight="1">
      <c r="A113" s="12">
        <v>9</v>
      </c>
      <c r="B113" s="21" t="s">
        <v>93</v>
      </c>
      <c r="C113" s="22" t="s">
        <v>6</v>
      </c>
      <c r="D113" s="27">
        <f t="shared" si="12"/>
        <v>290</v>
      </c>
      <c r="E113" s="4">
        <v>1</v>
      </c>
      <c r="F113" s="4">
        <v>2</v>
      </c>
      <c r="G113" s="4">
        <v>5</v>
      </c>
      <c r="H113" s="4">
        <v>3</v>
      </c>
      <c r="I113" s="4">
        <v>2</v>
      </c>
      <c r="J113" s="4">
        <v>5</v>
      </c>
      <c r="K113" s="4"/>
      <c r="L113" s="4">
        <v>3</v>
      </c>
      <c r="M113" s="4">
        <v>5</v>
      </c>
      <c r="N113" s="4">
        <v>2</v>
      </c>
      <c r="O113">
        <f t="shared" si="13"/>
        <v>28</v>
      </c>
    </row>
    <row r="114" spans="1:15" s="2" customFormat="1" ht="25.15" customHeight="1">
      <c r="A114" s="30" t="s">
        <v>61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/>
    </row>
    <row r="115" spans="1:15" ht="15" customHeight="1">
      <c r="A115" s="6" t="s">
        <v>55</v>
      </c>
      <c r="B115" s="19" t="s">
        <v>50</v>
      </c>
      <c r="C115" s="19" t="s">
        <v>1</v>
      </c>
      <c r="D115" s="5" t="s">
        <v>51</v>
      </c>
      <c r="E115" s="6">
        <v>20</v>
      </c>
      <c r="F115" s="6">
        <v>18</v>
      </c>
      <c r="G115" s="6">
        <v>16</v>
      </c>
      <c r="H115" s="6">
        <v>14</v>
      </c>
      <c r="I115" s="6">
        <v>12</v>
      </c>
      <c r="J115" s="6">
        <v>10</v>
      </c>
      <c r="K115" s="6">
        <v>8</v>
      </c>
      <c r="L115" s="6">
        <v>6</v>
      </c>
      <c r="M115" s="6">
        <v>4</v>
      </c>
      <c r="N115" s="6">
        <v>0</v>
      </c>
      <c r="O115" s="2" t="s">
        <v>52</v>
      </c>
    </row>
    <row r="116" spans="1:15" ht="15" customHeight="1">
      <c r="A116" s="12">
        <v>1</v>
      </c>
      <c r="B116" s="20" t="s">
        <v>154</v>
      </c>
      <c r="C116" s="26" t="s">
        <v>10</v>
      </c>
      <c r="D116" s="27">
        <f t="shared" ref="D116:D134" si="14">+E116*20+F116*18+G116*16+H116*14+I116*12+J116*10+K116*8+L116*6+M116*4</f>
        <v>518</v>
      </c>
      <c r="E116" s="4">
        <v>13</v>
      </c>
      <c r="F116" s="4">
        <v>9</v>
      </c>
      <c r="G116" s="4">
        <v>6</v>
      </c>
      <c r="H116" s="4"/>
      <c r="I116" s="4"/>
      <c r="J116" s="4"/>
      <c r="K116" s="4"/>
      <c r="L116" s="4"/>
      <c r="M116" s="4"/>
      <c r="N116" s="4"/>
      <c r="O116">
        <f t="shared" ref="O116:O134" si="15">+SUM(E116:N116)</f>
        <v>28</v>
      </c>
    </row>
    <row r="117" spans="1:15" ht="15" customHeight="1">
      <c r="A117" s="12">
        <v>2</v>
      </c>
      <c r="B117" s="20" t="s">
        <v>127</v>
      </c>
      <c r="C117" s="20" t="s">
        <v>91</v>
      </c>
      <c r="D117" s="27">
        <f t="shared" si="14"/>
        <v>498</v>
      </c>
      <c r="E117" s="4">
        <v>6</v>
      </c>
      <c r="F117" s="4">
        <v>13</v>
      </c>
      <c r="G117" s="4">
        <v>9</v>
      </c>
      <c r="H117" s="4"/>
      <c r="I117" s="4"/>
      <c r="J117" s="4"/>
      <c r="K117" s="4"/>
      <c r="L117" s="4"/>
      <c r="M117" s="4"/>
      <c r="N117" s="4"/>
      <c r="O117">
        <f t="shared" si="15"/>
        <v>28</v>
      </c>
    </row>
    <row r="118" spans="1:15" ht="15" customHeight="1">
      <c r="A118" s="12">
        <v>3</v>
      </c>
      <c r="B118" s="20" t="s">
        <v>97</v>
      </c>
      <c r="C118" s="20" t="s">
        <v>145</v>
      </c>
      <c r="D118" s="27">
        <f t="shared" si="14"/>
        <v>492</v>
      </c>
      <c r="E118" s="4">
        <v>6</v>
      </c>
      <c r="F118" s="4">
        <v>12</v>
      </c>
      <c r="G118" s="4">
        <v>9</v>
      </c>
      <c r="H118" s="4"/>
      <c r="I118" s="4">
        <v>1</v>
      </c>
      <c r="J118" s="4"/>
      <c r="K118" s="4"/>
      <c r="L118" s="4"/>
      <c r="M118" s="4"/>
      <c r="N118" s="4"/>
      <c r="O118">
        <f t="shared" si="15"/>
        <v>28</v>
      </c>
    </row>
    <row r="119" spans="1:15" ht="15" customHeight="1">
      <c r="A119" s="12">
        <v>4</v>
      </c>
      <c r="B119" s="20" t="s">
        <v>28</v>
      </c>
      <c r="C119" s="20" t="s">
        <v>29</v>
      </c>
      <c r="D119" s="27">
        <f t="shared" si="14"/>
        <v>486</v>
      </c>
      <c r="E119" s="4">
        <v>5</v>
      </c>
      <c r="F119" s="4">
        <v>13</v>
      </c>
      <c r="G119" s="4">
        <v>8</v>
      </c>
      <c r="H119" s="4"/>
      <c r="I119" s="4">
        <v>2</v>
      </c>
      <c r="J119" s="4"/>
      <c r="K119" s="4"/>
      <c r="L119" s="4"/>
      <c r="M119" s="4"/>
      <c r="N119" s="4"/>
      <c r="O119">
        <f t="shared" si="15"/>
        <v>28</v>
      </c>
    </row>
    <row r="120" spans="1:15" ht="15" customHeight="1">
      <c r="A120" s="12">
        <v>5</v>
      </c>
      <c r="B120" s="21" t="s">
        <v>30</v>
      </c>
      <c r="C120" s="21" t="s">
        <v>9</v>
      </c>
      <c r="D120" s="27">
        <f t="shared" si="14"/>
        <v>484</v>
      </c>
      <c r="E120" s="4">
        <v>5</v>
      </c>
      <c r="F120" s="4">
        <v>12</v>
      </c>
      <c r="G120" s="4">
        <v>9</v>
      </c>
      <c r="H120" s="4"/>
      <c r="I120" s="4">
        <v>2</v>
      </c>
      <c r="J120" s="4"/>
      <c r="K120" s="4"/>
      <c r="L120" s="4"/>
      <c r="M120" s="4"/>
      <c r="N120" s="4"/>
      <c r="O120">
        <f t="shared" si="15"/>
        <v>28</v>
      </c>
    </row>
    <row r="121" spans="1:15" ht="15" customHeight="1">
      <c r="A121" s="12">
        <v>6</v>
      </c>
      <c r="B121" s="21" t="s">
        <v>82</v>
      </c>
      <c r="C121" s="22" t="s">
        <v>6</v>
      </c>
      <c r="D121" s="27">
        <f t="shared" si="14"/>
        <v>472</v>
      </c>
      <c r="E121" s="4">
        <v>5</v>
      </c>
      <c r="F121" s="4">
        <v>8</v>
      </c>
      <c r="G121" s="4">
        <v>13</v>
      </c>
      <c r="H121" s="4"/>
      <c r="I121" s="4"/>
      <c r="J121" s="4">
        <v>2</v>
      </c>
      <c r="K121" s="4"/>
      <c r="L121" s="4"/>
      <c r="M121" s="4"/>
      <c r="N121" s="4"/>
      <c r="O121">
        <f t="shared" si="15"/>
        <v>28</v>
      </c>
    </row>
    <row r="122" spans="1:15" ht="15" customHeight="1">
      <c r="A122" s="12">
        <v>7</v>
      </c>
      <c r="B122" s="7" t="s">
        <v>123</v>
      </c>
      <c r="C122" s="20" t="s">
        <v>122</v>
      </c>
      <c r="D122" s="27">
        <f t="shared" si="14"/>
        <v>464</v>
      </c>
      <c r="E122" s="4">
        <v>5</v>
      </c>
      <c r="F122" s="4">
        <v>7</v>
      </c>
      <c r="G122" s="4">
        <v>11</v>
      </c>
      <c r="H122" s="4">
        <v>3</v>
      </c>
      <c r="I122" s="4"/>
      <c r="J122" s="4">
        <v>2</v>
      </c>
      <c r="K122" s="4"/>
      <c r="L122" s="4"/>
      <c r="M122" s="4"/>
      <c r="N122" s="4"/>
      <c r="O122">
        <f t="shared" si="15"/>
        <v>28</v>
      </c>
    </row>
    <row r="123" spans="1:15" ht="15" customHeight="1">
      <c r="A123" s="12">
        <v>8</v>
      </c>
      <c r="B123" s="21" t="s">
        <v>63</v>
      </c>
      <c r="C123" s="22" t="s">
        <v>83</v>
      </c>
      <c r="D123" s="27">
        <f t="shared" si="14"/>
        <v>450</v>
      </c>
      <c r="E123" s="4">
        <v>8</v>
      </c>
      <c r="F123" s="4">
        <v>7</v>
      </c>
      <c r="G123" s="4">
        <v>5</v>
      </c>
      <c r="H123" s="4">
        <v>1</v>
      </c>
      <c r="I123" s="4">
        <v>3</v>
      </c>
      <c r="J123" s="4">
        <v>3</v>
      </c>
      <c r="K123" s="4"/>
      <c r="L123" s="4"/>
      <c r="M123" s="4">
        <v>1</v>
      </c>
      <c r="N123" s="4"/>
      <c r="O123">
        <f t="shared" si="15"/>
        <v>28</v>
      </c>
    </row>
    <row r="124" spans="1:15" ht="15" customHeight="1">
      <c r="A124" s="12">
        <v>9</v>
      </c>
      <c r="B124" s="20" t="s">
        <v>25</v>
      </c>
      <c r="C124" s="20" t="s">
        <v>67</v>
      </c>
      <c r="D124" s="27">
        <f t="shared" si="14"/>
        <v>450</v>
      </c>
      <c r="E124" s="4">
        <v>5</v>
      </c>
      <c r="F124" s="4">
        <v>5</v>
      </c>
      <c r="G124" s="4">
        <v>12</v>
      </c>
      <c r="H124" s="4">
        <v>1</v>
      </c>
      <c r="I124" s="4">
        <v>2</v>
      </c>
      <c r="J124" s="4">
        <v>3</v>
      </c>
      <c r="K124" s="4"/>
      <c r="L124" s="4"/>
      <c r="M124" s="4"/>
      <c r="N124" s="4"/>
      <c r="O124">
        <f t="shared" si="15"/>
        <v>28</v>
      </c>
    </row>
    <row r="125" spans="1:15" ht="15" customHeight="1">
      <c r="A125" s="12">
        <v>10</v>
      </c>
      <c r="B125" s="20" t="s">
        <v>126</v>
      </c>
      <c r="C125" s="20" t="s">
        <v>91</v>
      </c>
      <c r="D125" s="27">
        <f t="shared" si="14"/>
        <v>448</v>
      </c>
      <c r="E125" s="4">
        <v>6</v>
      </c>
      <c r="F125" s="4">
        <v>4</v>
      </c>
      <c r="G125" s="4">
        <v>12</v>
      </c>
      <c r="H125" s="4">
        <v>1</v>
      </c>
      <c r="I125" s="4">
        <v>2</v>
      </c>
      <c r="J125" s="4">
        <v>2</v>
      </c>
      <c r="K125" s="4"/>
      <c r="L125" s="4">
        <v>1</v>
      </c>
      <c r="M125" s="4"/>
      <c r="N125" s="4"/>
      <c r="O125">
        <f t="shared" si="15"/>
        <v>28</v>
      </c>
    </row>
    <row r="126" spans="1:15" ht="15" customHeight="1">
      <c r="A126" s="12">
        <v>11</v>
      </c>
      <c r="B126" s="20" t="s">
        <v>128</v>
      </c>
      <c r="C126" s="20" t="s">
        <v>142</v>
      </c>
      <c r="D126" s="27">
        <f t="shared" si="14"/>
        <v>446</v>
      </c>
      <c r="E126" s="4">
        <v>3</v>
      </c>
      <c r="F126" s="4">
        <v>6</v>
      </c>
      <c r="G126" s="4">
        <v>14</v>
      </c>
      <c r="H126" s="4">
        <v>1</v>
      </c>
      <c r="I126" s="4">
        <v>2</v>
      </c>
      <c r="J126" s="4">
        <v>1</v>
      </c>
      <c r="K126" s="4"/>
      <c r="L126" s="4">
        <v>1</v>
      </c>
      <c r="M126" s="4"/>
      <c r="N126" s="4"/>
      <c r="O126">
        <f t="shared" si="15"/>
        <v>28</v>
      </c>
    </row>
    <row r="127" spans="1:15" ht="15" customHeight="1">
      <c r="A127" s="12">
        <v>12</v>
      </c>
      <c r="B127" s="20" t="s">
        <v>78</v>
      </c>
      <c r="C127" s="20" t="s">
        <v>67</v>
      </c>
      <c r="D127" s="27">
        <f t="shared" si="14"/>
        <v>432</v>
      </c>
      <c r="E127" s="4">
        <v>3</v>
      </c>
      <c r="F127" s="4">
        <v>7</v>
      </c>
      <c r="G127" s="4">
        <v>11</v>
      </c>
      <c r="H127" s="4">
        <v>1</v>
      </c>
      <c r="I127" s="4">
        <v>1</v>
      </c>
      <c r="J127" s="4">
        <v>4</v>
      </c>
      <c r="K127" s="4"/>
      <c r="L127" s="4"/>
      <c r="M127" s="4">
        <v>1</v>
      </c>
      <c r="N127" s="4"/>
      <c r="O127">
        <f t="shared" si="15"/>
        <v>28</v>
      </c>
    </row>
    <row r="128" spans="1:15" ht="15" customHeight="1">
      <c r="A128" s="12">
        <v>13</v>
      </c>
      <c r="B128" s="20" t="s">
        <v>120</v>
      </c>
      <c r="C128" s="20"/>
      <c r="D128" s="27">
        <f t="shared" si="14"/>
        <v>428</v>
      </c>
      <c r="E128" s="4">
        <v>1</v>
      </c>
      <c r="F128" s="4">
        <v>6</v>
      </c>
      <c r="G128" s="4">
        <v>13</v>
      </c>
      <c r="H128" s="4">
        <v>1</v>
      </c>
      <c r="I128" s="4">
        <v>4</v>
      </c>
      <c r="J128" s="4">
        <v>3</v>
      </c>
      <c r="K128" s="4"/>
      <c r="L128" s="4"/>
      <c r="M128" s="4"/>
      <c r="N128" s="4"/>
      <c r="O128">
        <f t="shared" si="15"/>
        <v>28</v>
      </c>
    </row>
    <row r="129" spans="1:17" ht="15" customHeight="1">
      <c r="A129" s="12">
        <v>14</v>
      </c>
      <c r="B129" s="21" t="s">
        <v>26</v>
      </c>
      <c r="C129" s="21" t="s">
        <v>27</v>
      </c>
      <c r="D129" s="27">
        <f t="shared" si="14"/>
        <v>426</v>
      </c>
      <c r="E129" s="4">
        <v>4</v>
      </c>
      <c r="F129" s="4">
        <v>7</v>
      </c>
      <c r="G129" s="4">
        <v>9</v>
      </c>
      <c r="H129" s="4">
        <v>2</v>
      </c>
      <c r="I129" s="4">
        <v>2</v>
      </c>
      <c r="J129" s="4">
        <v>2</v>
      </c>
      <c r="K129" s="4"/>
      <c r="L129" s="4"/>
      <c r="M129" s="4">
        <v>1</v>
      </c>
      <c r="N129" s="4">
        <v>1</v>
      </c>
      <c r="O129">
        <f t="shared" si="15"/>
        <v>28</v>
      </c>
    </row>
    <row r="130" spans="1:17" ht="15" customHeight="1">
      <c r="A130" s="12">
        <v>15</v>
      </c>
      <c r="B130" s="21" t="s">
        <v>23</v>
      </c>
      <c r="C130" s="21" t="s">
        <v>10</v>
      </c>
      <c r="D130" s="27">
        <f t="shared" si="14"/>
        <v>408</v>
      </c>
      <c r="E130" s="4">
        <v>1</v>
      </c>
      <c r="F130" s="4">
        <v>4</v>
      </c>
      <c r="G130" s="4">
        <v>15</v>
      </c>
      <c r="H130" s="4">
        <v>2</v>
      </c>
      <c r="I130" s="4"/>
      <c r="J130" s="4">
        <v>4</v>
      </c>
      <c r="K130" s="4"/>
      <c r="L130" s="4"/>
      <c r="M130" s="4">
        <v>2</v>
      </c>
      <c r="N130" s="4"/>
      <c r="O130">
        <f t="shared" si="15"/>
        <v>28</v>
      </c>
    </row>
    <row r="131" spans="1:17" ht="15" customHeight="1">
      <c r="A131" s="12">
        <v>16</v>
      </c>
      <c r="B131" s="20" t="s">
        <v>124</v>
      </c>
      <c r="C131" s="20" t="s">
        <v>122</v>
      </c>
      <c r="D131" s="27">
        <f t="shared" si="14"/>
        <v>402</v>
      </c>
      <c r="E131" s="4">
        <v>4</v>
      </c>
      <c r="F131" s="4">
        <v>4</v>
      </c>
      <c r="G131" s="4">
        <v>10</v>
      </c>
      <c r="H131" s="4">
        <v>1</v>
      </c>
      <c r="I131" s="4">
        <v>3</v>
      </c>
      <c r="J131" s="4">
        <v>4</v>
      </c>
      <c r="K131" s="4"/>
      <c r="L131" s="4"/>
      <c r="M131" s="4"/>
      <c r="N131" s="4">
        <v>2</v>
      </c>
      <c r="O131">
        <f t="shared" si="15"/>
        <v>28</v>
      </c>
    </row>
    <row r="132" spans="1:17" ht="15" customHeight="1">
      <c r="A132" s="12">
        <v>17</v>
      </c>
      <c r="B132" s="20" t="s">
        <v>121</v>
      </c>
      <c r="C132" s="20" t="s">
        <v>122</v>
      </c>
      <c r="D132" s="27">
        <f t="shared" si="14"/>
        <v>394</v>
      </c>
      <c r="E132" s="4">
        <v>2</v>
      </c>
      <c r="F132" s="4">
        <v>6</v>
      </c>
      <c r="G132" s="4">
        <v>10</v>
      </c>
      <c r="H132" s="4">
        <v>1</v>
      </c>
      <c r="I132" s="4"/>
      <c r="J132" s="4">
        <v>6</v>
      </c>
      <c r="K132" s="4"/>
      <c r="L132" s="4">
        <v>2</v>
      </c>
      <c r="M132" s="4"/>
      <c r="N132" s="4">
        <v>1</v>
      </c>
      <c r="O132">
        <f t="shared" si="15"/>
        <v>28</v>
      </c>
    </row>
    <row r="133" spans="1:17" ht="15" customHeight="1">
      <c r="A133" s="12">
        <v>18</v>
      </c>
      <c r="B133" s="21" t="s">
        <v>24</v>
      </c>
      <c r="C133" s="21" t="s">
        <v>144</v>
      </c>
      <c r="D133" s="27">
        <f t="shared" si="14"/>
        <v>388</v>
      </c>
      <c r="E133" s="4">
        <v>1</v>
      </c>
      <c r="F133" s="4">
        <v>5</v>
      </c>
      <c r="G133" s="4">
        <v>12</v>
      </c>
      <c r="H133" s="4">
        <v>1</v>
      </c>
      <c r="I133" s="4">
        <v>1</v>
      </c>
      <c r="J133" s="4">
        <v>6</v>
      </c>
      <c r="K133" s="4"/>
      <c r="L133" s="4"/>
      <c r="M133" s="4"/>
      <c r="N133" s="4">
        <v>2</v>
      </c>
      <c r="O133">
        <f t="shared" si="15"/>
        <v>28</v>
      </c>
    </row>
    <row r="134" spans="1:17" ht="15" customHeight="1">
      <c r="A134" s="12">
        <v>19</v>
      </c>
      <c r="B134" s="20" t="s">
        <v>119</v>
      </c>
      <c r="C134" s="20" t="s">
        <v>69</v>
      </c>
      <c r="D134" s="27">
        <f t="shared" si="14"/>
        <v>308</v>
      </c>
      <c r="E134" s="4">
        <v>2</v>
      </c>
      <c r="F134" s="4">
        <v>1</v>
      </c>
      <c r="G134" s="4">
        <v>11</v>
      </c>
      <c r="H134" s="4">
        <v>1</v>
      </c>
      <c r="I134" s="4">
        <v>1</v>
      </c>
      <c r="J134" s="4">
        <v>3</v>
      </c>
      <c r="K134" s="4">
        <v>1</v>
      </c>
      <c r="L134" s="4">
        <v>1</v>
      </c>
      <c r="M134" s="4">
        <v>1</v>
      </c>
      <c r="N134" s="4">
        <v>6</v>
      </c>
      <c r="O134">
        <f t="shared" si="15"/>
        <v>28</v>
      </c>
    </row>
    <row r="135" spans="1:17" s="2" customFormat="1" ht="25.15" customHeight="1">
      <c r="A135" s="30" t="s">
        <v>62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/>
    </row>
    <row r="136" spans="1:17" ht="15" customHeight="1">
      <c r="A136" s="6" t="s">
        <v>55</v>
      </c>
      <c r="B136" s="19" t="s">
        <v>50</v>
      </c>
      <c r="C136" s="19" t="s">
        <v>1</v>
      </c>
      <c r="D136" s="5" t="s">
        <v>51</v>
      </c>
      <c r="E136" s="6">
        <v>20</v>
      </c>
      <c r="F136" s="6">
        <v>18</v>
      </c>
      <c r="G136" s="6">
        <v>16</v>
      </c>
      <c r="H136" s="6">
        <v>14</v>
      </c>
      <c r="I136" s="6">
        <v>12</v>
      </c>
      <c r="J136" s="6">
        <v>10</v>
      </c>
      <c r="K136" s="6">
        <v>8</v>
      </c>
      <c r="L136" s="6">
        <v>6</v>
      </c>
      <c r="M136" s="6">
        <v>4</v>
      </c>
      <c r="N136" s="6">
        <v>0</v>
      </c>
      <c r="O136" s="2" t="s">
        <v>52</v>
      </c>
    </row>
    <row r="137" spans="1:17" ht="15" customHeight="1">
      <c r="A137" s="12">
        <v>1</v>
      </c>
      <c r="B137" s="20" t="s">
        <v>153</v>
      </c>
      <c r="C137" s="20" t="s">
        <v>6</v>
      </c>
      <c r="D137" s="27">
        <f t="shared" ref="D137:D143" si="16">+E137*20+F137*18+G137*16+H137*14+I137*12+J137*10+K137*8+L137*6+M137*4</f>
        <v>498</v>
      </c>
      <c r="E137" s="4">
        <v>9</v>
      </c>
      <c r="F137" s="4">
        <v>10</v>
      </c>
      <c r="G137" s="4">
        <v>8</v>
      </c>
      <c r="H137" s="4"/>
      <c r="I137" s="4"/>
      <c r="J137" s="4">
        <v>1</v>
      </c>
      <c r="K137" s="4"/>
      <c r="L137" s="4"/>
      <c r="M137" s="4"/>
      <c r="N137" s="4"/>
      <c r="O137">
        <f t="shared" ref="O137:O143" si="17">+SUM(E137:N137)</f>
        <v>28</v>
      </c>
    </row>
    <row r="138" spans="1:17" ht="15" customHeight="1">
      <c r="A138" s="12">
        <v>2</v>
      </c>
      <c r="B138" s="21" t="s">
        <v>31</v>
      </c>
      <c r="C138" s="21" t="s">
        <v>0</v>
      </c>
      <c r="D138" s="27">
        <f t="shared" si="16"/>
        <v>422</v>
      </c>
      <c r="E138" s="4">
        <v>1</v>
      </c>
      <c r="F138" s="4">
        <v>8</v>
      </c>
      <c r="G138" s="4">
        <v>10</v>
      </c>
      <c r="H138" s="4">
        <v>2</v>
      </c>
      <c r="I138" s="4">
        <v>1</v>
      </c>
      <c r="J138" s="4">
        <v>5</v>
      </c>
      <c r="K138" s="4">
        <v>1</v>
      </c>
      <c r="L138" s="4"/>
      <c r="M138" s="4"/>
      <c r="N138" s="4"/>
      <c r="O138">
        <f t="shared" si="17"/>
        <v>28</v>
      </c>
    </row>
    <row r="139" spans="1:17" ht="15" customHeight="1">
      <c r="A139" s="12">
        <v>3</v>
      </c>
      <c r="B139" s="20" t="s">
        <v>114</v>
      </c>
      <c r="C139" s="20" t="s">
        <v>152</v>
      </c>
      <c r="D139" s="27">
        <f t="shared" si="16"/>
        <v>396</v>
      </c>
      <c r="E139" s="4">
        <v>4</v>
      </c>
      <c r="F139" s="4">
        <v>5</v>
      </c>
      <c r="G139" s="4">
        <v>10</v>
      </c>
      <c r="H139" s="4">
        <v>1</v>
      </c>
      <c r="I139" s="4"/>
      <c r="J139" s="4">
        <v>3</v>
      </c>
      <c r="K139" s="4">
        <v>1</v>
      </c>
      <c r="L139" s="4">
        <v>1</v>
      </c>
      <c r="M139" s="4">
        <v>2</v>
      </c>
      <c r="N139" s="4">
        <v>1</v>
      </c>
      <c r="O139">
        <f t="shared" si="17"/>
        <v>28</v>
      </c>
    </row>
    <row r="140" spans="1:17" ht="15" customHeight="1">
      <c r="A140" s="12">
        <v>4</v>
      </c>
      <c r="B140" s="20" t="s">
        <v>131</v>
      </c>
      <c r="C140" s="20" t="s">
        <v>122</v>
      </c>
      <c r="D140" s="27">
        <f t="shared" si="16"/>
        <v>374</v>
      </c>
      <c r="E140" s="4">
        <v>2</v>
      </c>
      <c r="F140" s="4">
        <v>5</v>
      </c>
      <c r="G140" s="4">
        <v>8</v>
      </c>
      <c r="H140" s="4">
        <v>1</v>
      </c>
      <c r="I140" s="4">
        <v>1</v>
      </c>
      <c r="J140" s="4">
        <v>9</v>
      </c>
      <c r="K140" s="4"/>
      <c r="L140" s="4"/>
      <c r="M140" s="4"/>
      <c r="N140" s="4">
        <v>2</v>
      </c>
      <c r="O140">
        <f t="shared" si="17"/>
        <v>28</v>
      </c>
    </row>
    <row r="141" spans="1:17" ht="15" customHeight="1">
      <c r="A141" s="12">
        <v>5</v>
      </c>
      <c r="B141" s="20" t="s">
        <v>148</v>
      </c>
      <c r="C141" s="20" t="s">
        <v>6</v>
      </c>
      <c r="D141" s="27">
        <f t="shared" si="16"/>
        <v>354</v>
      </c>
      <c r="E141" s="4">
        <v>1</v>
      </c>
      <c r="F141" s="4">
        <v>3</v>
      </c>
      <c r="G141" s="4">
        <v>13</v>
      </c>
      <c r="H141" s="4">
        <v>1</v>
      </c>
      <c r="I141" s="4"/>
      <c r="J141" s="4">
        <v>4</v>
      </c>
      <c r="K141" s="4">
        <v>1</v>
      </c>
      <c r="L141" s="4">
        <v>1</v>
      </c>
      <c r="M141" s="4">
        <v>1</v>
      </c>
      <c r="N141" s="4">
        <v>3</v>
      </c>
      <c r="O141">
        <f t="shared" si="17"/>
        <v>28</v>
      </c>
      <c r="Q141" t="s">
        <v>64</v>
      </c>
    </row>
    <row r="142" spans="1:17" ht="15" customHeight="1">
      <c r="A142" s="12">
        <v>6</v>
      </c>
      <c r="B142" s="21" t="s">
        <v>8</v>
      </c>
      <c r="C142" s="21" t="s">
        <v>9</v>
      </c>
      <c r="D142" s="27">
        <f t="shared" si="16"/>
        <v>340</v>
      </c>
      <c r="E142" s="4">
        <v>1</v>
      </c>
      <c r="F142" s="4">
        <v>3</v>
      </c>
      <c r="G142" s="4">
        <v>10</v>
      </c>
      <c r="H142" s="4"/>
      <c r="I142" s="4">
        <v>2</v>
      </c>
      <c r="J142" s="4">
        <v>7</v>
      </c>
      <c r="K142" s="4"/>
      <c r="L142" s="4"/>
      <c r="M142" s="4">
        <v>3</v>
      </c>
      <c r="N142" s="4">
        <v>2</v>
      </c>
      <c r="O142">
        <f t="shared" si="17"/>
        <v>28</v>
      </c>
    </row>
    <row r="143" spans="1:17" ht="15" customHeight="1">
      <c r="A143" s="12">
        <v>7</v>
      </c>
      <c r="B143" s="20" t="s">
        <v>130</v>
      </c>
      <c r="C143" s="20" t="s">
        <v>122</v>
      </c>
      <c r="D143" s="27">
        <f t="shared" si="16"/>
        <v>294</v>
      </c>
      <c r="E143" s="4">
        <v>1</v>
      </c>
      <c r="F143" s="4">
        <v>4</v>
      </c>
      <c r="G143" s="4">
        <v>8</v>
      </c>
      <c r="H143" s="4"/>
      <c r="I143" s="4">
        <v>2</v>
      </c>
      <c r="J143" s="4">
        <v>2</v>
      </c>
      <c r="K143" s="4"/>
      <c r="L143" s="4">
        <v>1</v>
      </c>
      <c r="M143" s="4">
        <v>6</v>
      </c>
      <c r="N143" s="4">
        <v>4</v>
      </c>
      <c r="O143">
        <f t="shared" si="17"/>
        <v>28</v>
      </c>
    </row>
    <row r="144" spans="1:17" ht="25.15" customHeight="1">
      <c r="A144" s="30" t="s">
        <v>2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spans="1:15" ht="15" customHeight="1">
      <c r="A145" s="6" t="s">
        <v>55</v>
      </c>
      <c r="B145" s="19" t="s">
        <v>50</v>
      </c>
      <c r="C145" s="19" t="s">
        <v>1</v>
      </c>
      <c r="D145" s="5" t="s">
        <v>51</v>
      </c>
      <c r="E145" s="6">
        <v>20</v>
      </c>
      <c r="F145" s="6">
        <v>18</v>
      </c>
      <c r="G145" s="6">
        <v>16</v>
      </c>
      <c r="H145" s="6">
        <v>14</v>
      </c>
      <c r="I145" s="6">
        <v>12</v>
      </c>
      <c r="J145" s="6">
        <v>10</v>
      </c>
      <c r="K145" s="6">
        <v>8</v>
      </c>
      <c r="L145" s="6">
        <v>6</v>
      </c>
      <c r="M145" s="6">
        <v>4</v>
      </c>
      <c r="N145" s="6">
        <v>0</v>
      </c>
      <c r="O145" s="2" t="s">
        <v>52</v>
      </c>
    </row>
    <row r="146" spans="1:15" ht="15" customHeight="1">
      <c r="A146" s="12">
        <v>1</v>
      </c>
      <c r="B146" s="22" t="s">
        <v>94</v>
      </c>
      <c r="C146" s="22" t="s">
        <v>67</v>
      </c>
      <c r="D146" s="27">
        <f t="shared" ref="D146:D151" si="18">+E146*20+F146*18+G146*16+H146*14+I146*12+J146*10+K146*8+L146*6+M146*4</f>
        <v>546</v>
      </c>
      <c r="E146" s="4">
        <v>23</v>
      </c>
      <c r="F146" s="4">
        <v>3</v>
      </c>
      <c r="G146" s="4">
        <v>2</v>
      </c>
      <c r="H146" s="4"/>
      <c r="I146" s="4"/>
      <c r="J146" s="4"/>
      <c r="K146" s="4"/>
      <c r="L146" s="4"/>
      <c r="M146" s="4"/>
      <c r="N146" s="4"/>
      <c r="O146">
        <f t="shared" ref="O146:O151" si="19">+SUM(E146:N146)</f>
        <v>28</v>
      </c>
    </row>
    <row r="147" spans="1:15" ht="15" customHeight="1">
      <c r="A147" s="12">
        <v>2</v>
      </c>
      <c r="B147" s="22" t="s">
        <v>96</v>
      </c>
      <c r="C147" s="22" t="s">
        <v>66</v>
      </c>
      <c r="D147" s="27">
        <f t="shared" si="18"/>
        <v>546</v>
      </c>
      <c r="E147" s="4">
        <v>21</v>
      </c>
      <c r="F147" s="4">
        <v>7</v>
      </c>
      <c r="G147" s="4"/>
      <c r="H147" s="4"/>
      <c r="I147" s="4"/>
      <c r="J147" s="4"/>
      <c r="K147" s="4"/>
      <c r="L147" s="4"/>
      <c r="M147" s="4"/>
      <c r="N147" s="4"/>
      <c r="O147">
        <f t="shared" si="19"/>
        <v>28</v>
      </c>
    </row>
    <row r="148" spans="1:15" ht="15" customHeight="1">
      <c r="A148" s="12">
        <v>3</v>
      </c>
      <c r="B148" s="22" t="s">
        <v>3</v>
      </c>
      <c r="C148" s="22" t="s">
        <v>67</v>
      </c>
      <c r="D148" s="27">
        <f t="shared" si="18"/>
        <v>544</v>
      </c>
      <c r="E148" s="4">
        <v>20</v>
      </c>
      <c r="F148" s="4">
        <v>8</v>
      </c>
      <c r="G148" s="4"/>
      <c r="H148" s="4"/>
      <c r="I148" s="4"/>
      <c r="J148" s="4"/>
      <c r="K148" s="4"/>
      <c r="L148" s="4"/>
      <c r="M148" s="4"/>
      <c r="N148" s="4"/>
      <c r="O148">
        <f t="shared" si="19"/>
        <v>28</v>
      </c>
    </row>
    <row r="149" spans="1:15" ht="15" customHeight="1">
      <c r="A149" s="12">
        <v>4</v>
      </c>
      <c r="B149" s="20" t="s">
        <v>101</v>
      </c>
      <c r="C149" s="20" t="s">
        <v>7</v>
      </c>
      <c r="D149" s="27">
        <f t="shared" si="18"/>
        <v>542</v>
      </c>
      <c r="E149" s="4">
        <v>20</v>
      </c>
      <c r="F149" s="4">
        <v>7</v>
      </c>
      <c r="G149" s="4">
        <v>1</v>
      </c>
      <c r="H149" s="4"/>
      <c r="I149" s="4"/>
      <c r="J149" s="4"/>
      <c r="K149" s="4"/>
      <c r="L149" s="4"/>
      <c r="M149" s="4"/>
      <c r="N149" s="4"/>
      <c r="O149">
        <f t="shared" si="19"/>
        <v>28</v>
      </c>
    </row>
    <row r="150" spans="1:15" ht="15" customHeight="1">
      <c r="A150" s="12">
        <v>5</v>
      </c>
      <c r="B150" s="20" t="s">
        <v>4</v>
      </c>
      <c r="C150" s="20" t="s">
        <v>67</v>
      </c>
      <c r="D150" s="27">
        <f t="shared" si="18"/>
        <v>530</v>
      </c>
      <c r="E150" s="4">
        <v>15</v>
      </c>
      <c r="F150" s="4">
        <v>11</v>
      </c>
      <c r="G150" s="4">
        <v>2</v>
      </c>
      <c r="H150" s="4"/>
      <c r="I150" s="4"/>
      <c r="J150" s="4"/>
      <c r="K150" s="4"/>
      <c r="L150" s="4"/>
      <c r="M150" s="4"/>
      <c r="N150" s="4"/>
      <c r="O150">
        <f t="shared" si="19"/>
        <v>28</v>
      </c>
    </row>
    <row r="151" spans="1:15" ht="15" customHeight="1">
      <c r="A151" s="12">
        <v>6</v>
      </c>
      <c r="B151" s="21" t="s">
        <v>65</v>
      </c>
      <c r="C151" s="22" t="s">
        <v>66</v>
      </c>
      <c r="D151" s="27">
        <f t="shared" si="18"/>
        <v>512</v>
      </c>
      <c r="E151" s="1">
        <v>9</v>
      </c>
      <c r="F151" s="1">
        <v>14</v>
      </c>
      <c r="G151" s="1">
        <v>5</v>
      </c>
      <c r="O151">
        <f t="shared" si="19"/>
        <v>28</v>
      </c>
    </row>
    <row r="152" spans="1:15" ht="15" customHeight="1">
      <c r="A152" s="12">
        <v>7</v>
      </c>
      <c r="B152" s="20" t="s">
        <v>98</v>
      </c>
      <c r="C152" s="20" t="s">
        <v>0</v>
      </c>
      <c r="D152" s="27">
        <f>+E152*20+F152*18+G152*16+H152*14+I152*12+J152*10+K152*8+L152*6+M152*4</f>
        <v>440</v>
      </c>
      <c r="E152" s="4">
        <v>5</v>
      </c>
      <c r="F152" s="4">
        <v>8</v>
      </c>
      <c r="G152" s="4">
        <v>9</v>
      </c>
      <c r="H152" s="4"/>
      <c r="I152" s="4">
        <v>1</v>
      </c>
      <c r="J152" s="4">
        <v>3</v>
      </c>
      <c r="K152" s="4"/>
      <c r="L152" s="4">
        <v>1</v>
      </c>
      <c r="M152" s="4">
        <v>1</v>
      </c>
      <c r="N152" s="4"/>
      <c r="O152">
        <f>+SUM(E152:N152)</f>
        <v>28</v>
      </c>
    </row>
    <row r="153" spans="1:15" ht="15" customHeight="1">
      <c r="A153" s="14"/>
      <c r="B153" s="23"/>
      <c r="C153" s="2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5">
      <c r="A154" s="15"/>
      <c r="B154" s="24"/>
      <c r="C154" s="24"/>
    </row>
    <row r="156" spans="1:15">
      <c r="B156" s="25"/>
    </row>
  </sheetData>
  <sortState xmlns:xlrd2="http://schemas.microsoft.com/office/spreadsheetml/2017/richdata2" ref="A12:Q151">
    <sortCondition descending="1" ref="D17:D24"/>
  </sortState>
  <mergeCells count="17">
    <mergeCell ref="A62:N62"/>
    <mergeCell ref="C4:I5"/>
    <mergeCell ref="C2:I3"/>
    <mergeCell ref="A135:N135"/>
    <mergeCell ref="A144:N144"/>
    <mergeCell ref="A100:N100"/>
    <mergeCell ref="A103:N103"/>
    <mergeCell ref="A12:N12"/>
    <mergeCell ref="A67:N67"/>
    <mergeCell ref="A73:N73"/>
    <mergeCell ref="A114:N114"/>
    <mergeCell ref="A84:N84"/>
    <mergeCell ref="A97:N97"/>
    <mergeCell ref="A8:N9"/>
    <mergeCell ref="B15:N15"/>
    <mergeCell ref="A25:N25"/>
    <mergeCell ref="A57:N57"/>
  </mergeCells>
  <phoneticPr fontId="6" type="noConversion"/>
  <conditionalFormatting sqref="D14 D27:D56 D59:D61 D64:D66 D69:D72 D75:D83 D86:D96 D99 D102 D105:D113 D116:D134 D137:D143 D146:D152 D17:D24">
    <cfRule type="expression" dxfId="0" priority="29">
      <formula>$O14&lt;&gt;28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  <headerFooter>
    <oddFooter>&amp;L&amp;D&amp;R&amp;P/&amp;N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Miklavčič</dc:creator>
  <cp:lastModifiedBy>Boštjan Oprešnik</cp:lastModifiedBy>
  <cp:lastPrinted>2025-09-29T08:13:47Z</cp:lastPrinted>
  <dcterms:created xsi:type="dcterms:W3CDTF">2025-08-20T13:13:51Z</dcterms:created>
  <dcterms:modified xsi:type="dcterms:W3CDTF">2025-09-29T08:13:51Z</dcterms:modified>
</cp:coreProperties>
</file>